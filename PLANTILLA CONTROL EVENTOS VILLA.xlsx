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CHAVEZC\Downloads\"/>
    </mc:Choice>
  </mc:AlternateContent>
  <xr:revisionPtr revIDLastSave="0" documentId="13_ncr:1_{CC37A300-22B0-4B40-B6DD-B9B6E12E4E4B}" xr6:coauthVersionLast="47" xr6:coauthVersionMax="47" xr10:uidLastSave="{00000000-0000-0000-0000-000000000000}"/>
  <bookViews>
    <workbookView xWindow="38290" yWindow="-110" windowWidth="38620" windowHeight="21100" xr2:uid="{00000000-000D-0000-FFFF-FFFF00000000}"/>
  </bookViews>
  <sheets>
    <sheet name="EVENTOS" sheetId="1" r:id="rId1"/>
    <sheet name="LISTAS" sheetId="2" r:id="rId2"/>
    <sheet name="RESUM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6" i="3"/>
  <c r="B5" i="3"/>
  <c r="B4" i="3"/>
</calcChain>
</file>

<file path=xl/sharedStrings.xml><?xml version="1.0" encoding="utf-8"?>
<sst xmlns="http://schemas.openxmlformats.org/spreadsheetml/2006/main" count="1027" uniqueCount="150">
  <si>
    <t>Fecha</t>
  </si>
  <si>
    <t>Hora</t>
  </si>
  <si>
    <t>Área Solicitante</t>
  </si>
  <si>
    <t>N° OT</t>
  </si>
  <si>
    <t>Evento / Actividad</t>
  </si>
  <si>
    <t>Ubicación</t>
  </si>
  <si>
    <t>Requerimientos</t>
  </si>
  <si>
    <t>Prioridad</t>
  </si>
  <si>
    <t>Categoría</t>
  </si>
  <si>
    <t>Estado</t>
  </si>
  <si>
    <t>29/05/2026</t>
  </si>
  <si>
    <t>08:00</t>
  </si>
  <si>
    <t>Seguridad</t>
  </si>
  <si>
    <t>OT-00125</t>
  </si>
  <si>
    <t>Simulacro Multipeligro</t>
  </si>
  <si>
    <t>Campus villa</t>
  </si>
  <si>
    <t>Coordinación con brigadas y rutas de evacuación</t>
  </si>
  <si>
    <t>Alta</t>
  </si>
  <si>
    <t>Institucional</t>
  </si>
  <si>
    <t>Ejecutado</t>
  </si>
  <si>
    <t>31/05/2026</t>
  </si>
  <si>
    <t>VGU</t>
  </si>
  <si>
    <t>OT-81043</t>
  </si>
  <si>
    <t>evento lote 28</t>
  </si>
  <si>
    <t>Lote 28</t>
  </si>
  <si>
    <t>4 toldos, 4 mesas, 4 manteles, sillas</t>
  </si>
  <si>
    <t>Pendiente</t>
  </si>
  <si>
    <t>Psicopedagogico</t>
  </si>
  <si>
    <t>CORREO</t>
  </si>
  <si>
    <t>lote 28</t>
  </si>
  <si>
    <t>1 extension para parlante</t>
  </si>
  <si>
    <t>09:00</t>
  </si>
  <si>
    <t>Enfermeria</t>
  </si>
  <si>
    <t>Auditorio Pabellon O</t>
  </si>
  <si>
    <t xml:space="preserve">Auditorio O </t>
  </si>
  <si>
    <t>Sillas, Podium, Mesas</t>
  </si>
  <si>
    <t>Estomatologia</t>
  </si>
  <si>
    <t>Canchas deportivas</t>
  </si>
  <si>
    <t>ninguno</t>
  </si>
  <si>
    <t>Media</t>
  </si>
  <si>
    <t>30/05/2026</t>
  </si>
  <si>
    <t>Servicios Generrales</t>
  </si>
  <si>
    <t>Cumpleaños Juan Hernandez</t>
  </si>
  <si>
    <t>Externo</t>
  </si>
  <si>
    <t>Equipo villa</t>
  </si>
  <si>
    <t>01/06/2026</t>
  </si>
  <si>
    <t>SST</t>
  </si>
  <si>
    <t>Capacitacion SST</t>
  </si>
  <si>
    <t>Aramburu</t>
  </si>
  <si>
    <t>Presencial</t>
  </si>
  <si>
    <t>Corporativo</t>
  </si>
  <si>
    <t>09/06/2026</t>
  </si>
  <si>
    <t>CARRERA DE INGIENERIA</t>
  </si>
  <si>
    <t>Concurso de Ingieneria Civil</t>
  </si>
  <si>
    <t xml:space="preserve">Pabellon N </t>
  </si>
  <si>
    <t>mesas</t>
  </si>
  <si>
    <t>Feria de Papers</t>
  </si>
  <si>
    <t xml:space="preserve">Terrazo pabellon J </t>
  </si>
  <si>
    <t>24/06/2026</t>
  </si>
  <si>
    <t>INGIENERIA AMBIENTAL</t>
  </si>
  <si>
    <t>SOL 9606</t>
  </si>
  <si>
    <t>Feria Ambiental 2026</t>
  </si>
  <si>
    <t>Sede Villa – Hall del Pabellón N</t>
  </si>
  <si>
    <t>Requerimiento:
10 mesas con mantel
20 sillas
Tomas eléctricas cercanas o extensiones eléctricas para stands (de ser posible)
Layout:
Se requiere retirar los muebles del hall y colocar las mesas alrededor del espacio.
La exhibición de EKOVA será reubicada hacia el lado de la escalera</t>
  </si>
  <si>
    <t>25/06/2026</t>
  </si>
  <si>
    <t>sol 9697</t>
  </si>
  <si>
    <t>Workshop de Líderes en Circularidad</t>
  </si>
  <si>
    <t>Hall del segundo piso – Pabellón O</t>
  </si>
  <si>
    <t>Requerimiento:
7 mesas con mantel
49 sillas
2 micrófonos inalámbricos con pilas nuevas
Equipo de sonido operativo
Proyector y conexión HDMI
Mesa adicional para coffee break
Layout:
Se colocarán 07 mesas en formato workshop con 07 sillas por mesa.
01 mesa será destinada al coffee break.
Se requiere retirar los muebles del hall frente al auditorio, ya que se implementará un espacio para fotos y networking.
Se requiere apoyo para el brandeo del espacio en coordinación con @Maria Luisa Leveau Besarez.</t>
  </si>
  <si>
    <t>sol 9608</t>
  </si>
  <si>
    <t>Ciclo de Conferencias: “Zero Waste: Ecodiseño y Negocios Sostenibles”</t>
  </si>
  <si>
    <t>Requerimiento:
40 sillas
Televisor con parante
Podio
Equipo de sonido con 2 micrófonos inalámbricos con pilas nuevas
Extensión eléctrica
Layout:
Las sillas se colocarán en formato auditorio orientadas hacia el televisor.
Se requiere retirar los muebles del hall.
La exhibición de EKOVA será reubicada temporalmente.
Se requiere apoyo para el brandeo del espacio en coordinación con @Maria Luisa Leveau Besarez.</t>
  </si>
  <si>
    <t>22/06/2026</t>
  </si>
  <si>
    <t>10:00</t>
  </si>
  <si>
    <t>sol 9609</t>
  </si>
  <si>
    <t>Exhibición: Biomateriales – EKOVA</t>
  </si>
  <si>
    <t>Instalación:
22 de junio – 10:00 a.m.
Retiro:
06 de julio – 10:00 a.m.
Sede Villa – Hall del Pabellón N
Requerimiento:
Retiro parcial de muebles para la implementación de la exhibición
Apoyo para ingreso y salida de materiales</t>
  </si>
  <si>
    <t>EMPLEABILIDAD</t>
  </si>
  <si>
    <t>sol 9691</t>
  </si>
  <si>
    <t>Congreso Nacional e Internacional de Derecho Ambiental</t>
  </si>
  <si>
    <t>Sede villa - pabellon O / L</t>
  </si>
  <si>
    <t xml:space="preserve">4 butacas - ok
1 mesa de centro de vidrio - ok
Banner institucional - indicar donde se ubica el banner, SSGG. no dispone de ello. 
1 podio - ok
1 estandarte del Perú - ok
4 vasos de vidrio - no esta dentro de nuestros implementos de habilitación. 
Letra C de Científica - según correo de MKT se procederá a trasladar. 
2 mesas revestidas con mantel de la Universidad - ok
90 sillas - el auditorio cuenta con 73 sillas
Respecto del Pabellón L de medicina:
40 sillas - indicar la ubicación de estas sillas.
1 mesa vestida con mantel de la Universidad - ok
4 asientos para ponentes - se colocara sillas, no butacas. </t>
  </si>
  <si>
    <t>18:30</t>
  </si>
  <si>
    <t>Baile Moderno</t>
  </si>
  <si>
    <t>Cancha de Voley</t>
  </si>
  <si>
    <t>Espacio limpio / punto de luz / Retirar malla de voley</t>
  </si>
  <si>
    <t>Programado</t>
  </si>
  <si>
    <t>08/06/2026</t>
  </si>
  <si>
    <t>15/06/2026</t>
  </si>
  <si>
    <t>02/06/2026</t>
  </si>
  <si>
    <t>Comunicación teatral efectiva</t>
  </si>
  <si>
    <t>Auditorio Pab. O</t>
  </si>
  <si>
    <t xml:space="preserve">Espacio limpio/mobiliario retirado </t>
  </si>
  <si>
    <t>16/06/2026</t>
  </si>
  <si>
    <t>23/06/2026</t>
  </si>
  <si>
    <t>30/06/2026</t>
  </si>
  <si>
    <t>12:00</t>
  </si>
  <si>
    <t>Impro para todos</t>
  </si>
  <si>
    <t>14:00</t>
  </si>
  <si>
    <t>Expresión corporal</t>
  </si>
  <si>
    <t>N-208</t>
  </si>
  <si>
    <t>Fotografia para todos</t>
  </si>
  <si>
    <t>M-301</t>
  </si>
  <si>
    <t>15:00</t>
  </si>
  <si>
    <t>Club de literatura</t>
  </si>
  <si>
    <t>K-103</t>
  </si>
  <si>
    <t>16:00</t>
  </si>
  <si>
    <t>I-202</t>
  </si>
  <si>
    <t>Espacio limpio/Electrónicos del aula en funcionamiento</t>
  </si>
  <si>
    <t>17:00</t>
  </si>
  <si>
    <t>Análisis de Poesía Contemporánea</t>
  </si>
  <si>
    <t>J-104</t>
  </si>
  <si>
    <t>03/06/2026</t>
  </si>
  <si>
    <t>Cancha de Basket</t>
  </si>
  <si>
    <t>Espacio limpio / punto de luz</t>
  </si>
  <si>
    <t>10/06/2026</t>
  </si>
  <si>
    <t>17/06/2026</t>
  </si>
  <si>
    <t>04/06/2026</t>
  </si>
  <si>
    <t>13:00</t>
  </si>
  <si>
    <t>11/06/2026</t>
  </si>
  <si>
    <t>18/06/2026</t>
  </si>
  <si>
    <t>J-105</t>
  </si>
  <si>
    <t>J-206</t>
  </si>
  <si>
    <t>05/06/2026</t>
  </si>
  <si>
    <t>Folklore peruano para todos</t>
  </si>
  <si>
    <t>19/06/2026</t>
  </si>
  <si>
    <t>26/06/2026</t>
  </si>
  <si>
    <t>12/06/2026</t>
  </si>
  <si>
    <t>LOTE 28 - 12/06</t>
  </si>
  <si>
    <t>11:00</t>
  </si>
  <si>
    <t>Dibujo y pintura</t>
  </si>
  <si>
    <t>I-301</t>
  </si>
  <si>
    <t>Zona Deporte-Cultura</t>
  </si>
  <si>
    <t>06/07/2026</t>
  </si>
  <si>
    <t>01/07/2026</t>
  </si>
  <si>
    <t>02/07/2026</t>
  </si>
  <si>
    <t>03/07/2026</t>
  </si>
  <si>
    <t>Académico</t>
  </si>
  <si>
    <t>Baja</t>
  </si>
  <si>
    <t>Operativo</t>
  </si>
  <si>
    <t>Cancelado</t>
  </si>
  <si>
    <t>Reunión</t>
  </si>
  <si>
    <t>CONTROL DE EVENTOS CAMPUS VILLA - RESUMEN</t>
  </si>
  <si>
    <t>Indicador</t>
  </si>
  <si>
    <t>Cantidad</t>
  </si>
  <si>
    <t>Eventos</t>
  </si>
  <si>
    <t>Ejecutados</t>
  </si>
  <si>
    <t>Pendientes</t>
  </si>
  <si>
    <t>Prioridad Alta</t>
  </si>
  <si>
    <t>Ubicaciones registradas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</si>
</sst>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font>
      <sz val="11"/>
      <name val="Carlito"/>
    </font>
    <font>
      <b/>
      <sz val="11"/>
      <color rgb="FFFFFFFF"/>
      <name val="Carlito"/>
    </font>
    <font>
      <b/>
      <sz val="16"/>
      <color rgb="FFFFFFFF"/>
      <name val="Carlito"/>
    </font>
    <font>
      <b/>
      <sz val="11"/>
      <name val="Carlito"/>
    </font>
    <font>
      <sz val="11"/>
      <color theme="1"/>
      <name val="Carlito"/>
    </font>
  </fonts>
  <fills count="6">
    <fill>
      <patternFill patternType="none"/>
    </fill>
    <fill>
      <patternFill patternType="gray125"/>
    </fill>
    <fill>
      <patternFill patternType="solid">
        <fgColor rgb="FF7A0019"/>
      </patternFill>
    </fill>
    <fill>
      <patternFill patternType="solid">
        <fgColor rgb="FF1F2937"/>
      </patternFill>
    </fill>
    <fill>
      <patternFill patternType="solid">
        <fgColor theme="4" tint="0.79998168889431442"/>
        <bgColor theme="4" tint="0.79998168889431442"/>
      </patternFill>
    </fill>
    <fill>
      <patternFill patternType="solid">
        <fgColor theme="7" tint="0.39997558519241921"/>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0" fillId="0" borderId="0" xfId="0" applyAlignment="1">
      <alignment wrapText="1"/>
    </xf>
    <xf numFmtId="164" fontId="0" fillId="0" borderId="0" xfId="0" applyNumberFormat="1" applyAlignment="1">
      <alignment wrapText="1"/>
    </xf>
    <xf numFmtId="20" fontId="0" fillId="0" borderId="0" xfId="0" applyNumberFormat="1" applyAlignment="1">
      <alignment wrapText="1"/>
    </xf>
    <xf numFmtId="0" fontId="1" fillId="3" borderId="0" xfId="0" applyFont="1" applyFill="1"/>
    <xf numFmtId="0" fontId="1" fillId="3" borderId="0" xfId="0" applyFont="1" applyFill="1" applyAlignment="1">
      <alignment horizontal="center"/>
    </xf>
    <xf numFmtId="0" fontId="3" fillId="0" borderId="0" xfId="0" applyFont="1"/>
    <xf numFmtId="0" fontId="0" fillId="0" borderId="0" xfId="0" applyAlignment="1">
      <alignment vertical="center"/>
    </xf>
    <xf numFmtId="0" fontId="0" fillId="0" borderId="0" xfId="0" applyAlignment="1">
      <alignment vertical="center" wrapText="1"/>
    </xf>
    <xf numFmtId="20" fontId="0" fillId="0" borderId="0" xfId="0" applyNumberFormat="1" applyAlignment="1">
      <alignment horizontal="left" vertical="center"/>
    </xf>
    <xf numFmtId="164" fontId="0" fillId="0" borderId="0" xfId="0" applyNumberFormat="1" applyAlignment="1">
      <alignment horizontal="left" wrapText="1"/>
    </xf>
    <xf numFmtId="0" fontId="2" fillId="2" borderId="0" xfId="0" applyFont="1" applyFill="1" applyAlignment="1">
      <alignment horizontal="center"/>
    </xf>
    <xf numFmtId="0" fontId="0" fillId="0" borderId="0" xfId="0"/>
    <xf numFmtId="0" fontId="4" fillId="4" borderId="2" xfId="0" applyFont="1" applyFill="1" applyBorder="1" applyAlignment="1">
      <alignment vertical="center"/>
    </xf>
    <xf numFmtId="0" fontId="4" fillId="5" borderId="3" xfId="0" applyFont="1" applyFill="1" applyBorder="1" applyAlignment="1">
      <alignment vertical="center"/>
    </xf>
    <xf numFmtId="0" fontId="4" fillId="4" borderId="2" xfId="0" applyFont="1" applyFill="1" applyBorder="1" applyAlignment="1">
      <alignment vertical="center" wrapText="1"/>
    </xf>
    <xf numFmtId="20" fontId="4" fillId="4" borderId="2" xfId="0" applyNumberFormat="1" applyFont="1" applyFill="1" applyBorder="1" applyAlignment="1">
      <alignment horizontal="left" vertical="center"/>
    </xf>
    <xf numFmtId="164" fontId="4" fillId="4" borderId="1" xfId="0" applyNumberFormat="1" applyFont="1" applyFill="1" applyBorder="1" applyAlignment="1">
      <alignment horizontal="left" wrapText="1"/>
    </xf>
  </cellXfs>
  <cellStyles count="1">
    <cellStyle name="Normal" xfId="0" builtinId="0"/>
  </cellStyles>
  <dxfs count="5">
    <dxf>
      <font>
        <b/>
        <color rgb="FF92400E"/>
      </font>
      <fill>
        <patternFill patternType="solid">
          <bgColor rgb="FFFEF3C7"/>
        </patternFill>
      </fill>
    </dxf>
    <dxf>
      <font>
        <b/>
        <color rgb="FF166534"/>
      </font>
      <fill>
        <patternFill patternType="solid">
          <bgColor rgb="FFDCFCE7"/>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ventosV4" displayName="TablaEventosV4" ref="A1:J16">
  <tableColumns count="10">
    <tableColumn id="1" xr3:uid="{00000000-0010-0000-0000-000001000000}" name="Fecha"/>
    <tableColumn id="2" xr3:uid="{00000000-0010-0000-0000-000002000000}" name="Hora"/>
    <tableColumn id="3" xr3:uid="{00000000-0010-0000-0000-000003000000}" name="Área Solicitante"/>
    <tableColumn id="4" xr3:uid="{00000000-0010-0000-0000-000004000000}" name="N° OT"/>
    <tableColumn id="5" xr3:uid="{00000000-0010-0000-0000-000005000000}" name="Evento / Actividad"/>
    <tableColumn id="6" xr3:uid="{00000000-0010-0000-0000-000006000000}" name="Ubicación"/>
    <tableColumn id="7" xr3:uid="{00000000-0010-0000-0000-000007000000}" name="Requerimientos"/>
    <tableColumn id="8" xr3:uid="{00000000-0010-0000-0000-000008000000}" name="Prioridad"/>
    <tableColumn id="9" xr3:uid="{00000000-0010-0000-0000-000009000000}" name="Categoría"/>
    <tableColumn id="10" xr3:uid="{00000000-0010-0000-0000-00000A000000}" name="Est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55" workbookViewId="0">
      <selection activeCell="E94" sqref="E94"/>
    </sheetView>
  </sheetViews>
  <sheetFormatPr baseColWidth="10" defaultColWidth="9" defaultRowHeight="14.25"/>
  <cols>
    <col min="1" max="1" width="14" customWidth="1"/>
    <col min="2" max="2" width="10" customWidth="1"/>
    <col min="3" max="3" width="24" customWidth="1"/>
    <col min="4" max="4" width="16" customWidth="1"/>
    <col min="5" max="6" width="34" customWidth="1"/>
    <col min="7" max="7" width="48" customWidth="1"/>
    <col min="8" max="8" width="14" customWidth="1"/>
    <col min="9" max="9" width="18" customWidth="1"/>
    <col min="10" max="10" width="16" customWidth="1"/>
  </cols>
  <sheetData>
    <row r="1" spans="1:10" ht="26.1" customHeight="1">
      <c r="A1" s="1" t="s">
        <v>0</v>
      </c>
      <c r="B1" s="1" t="s">
        <v>1</v>
      </c>
      <c r="C1" s="1" t="s">
        <v>2</v>
      </c>
      <c r="D1" s="1" t="s">
        <v>3</v>
      </c>
      <c r="E1" s="1" t="s">
        <v>4</v>
      </c>
      <c r="F1" s="1" t="s">
        <v>5</v>
      </c>
      <c r="G1" s="1" t="s">
        <v>6</v>
      </c>
      <c r="H1" s="1" t="s">
        <v>7</v>
      </c>
      <c r="I1" s="1" t="s">
        <v>8</v>
      </c>
      <c r="J1" s="1" t="s">
        <v>9</v>
      </c>
    </row>
    <row r="2" spans="1:10" ht="15" customHeight="1">
      <c r="A2" s="3" t="s">
        <v>10</v>
      </c>
      <c r="B2" s="4" t="s">
        <v>11</v>
      </c>
      <c r="C2" s="2" t="s">
        <v>12</v>
      </c>
      <c r="D2" s="2" t="s">
        <v>13</v>
      </c>
      <c r="E2" s="2" t="s">
        <v>14</v>
      </c>
      <c r="F2" s="2" t="s">
        <v>15</v>
      </c>
      <c r="G2" s="2" t="s">
        <v>16</v>
      </c>
      <c r="H2" s="2" t="s">
        <v>17</v>
      </c>
      <c r="I2" s="2" t="s">
        <v>18</v>
      </c>
      <c r="J2" s="2" t="s">
        <v>19</v>
      </c>
    </row>
    <row r="3" spans="1:10" ht="15" customHeight="1">
      <c r="A3" s="3" t="s">
        <v>20</v>
      </c>
      <c r="B3" s="4" t="s">
        <v>11</v>
      </c>
      <c r="C3" s="2" t="s">
        <v>21</v>
      </c>
      <c r="D3" s="2" t="s">
        <v>22</v>
      </c>
      <c r="E3" s="2" t="s">
        <v>23</v>
      </c>
      <c r="F3" s="2" t="s">
        <v>24</v>
      </c>
      <c r="G3" s="2" t="s">
        <v>25</v>
      </c>
      <c r="H3" s="2" t="s">
        <v>17</v>
      </c>
      <c r="I3" s="2" t="s">
        <v>18</v>
      </c>
      <c r="J3" s="2" t="s">
        <v>26</v>
      </c>
    </row>
    <row r="4" spans="1:10" ht="15" customHeight="1">
      <c r="A4" s="3" t="s">
        <v>20</v>
      </c>
      <c r="B4" s="4" t="s">
        <v>11</v>
      </c>
      <c r="C4" s="2" t="s">
        <v>27</v>
      </c>
      <c r="D4" s="2" t="s">
        <v>28</v>
      </c>
      <c r="E4" s="2" t="s">
        <v>23</v>
      </c>
      <c r="F4" s="2" t="s">
        <v>29</v>
      </c>
      <c r="G4" s="2" t="s">
        <v>30</v>
      </c>
      <c r="H4" s="2" t="s">
        <v>17</v>
      </c>
      <c r="I4" s="2" t="s">
        <v>18</v>
      </c>
      <c r="J4" s="2" t="s">
        <v>26</v>
      </c>
    </row>
    <row r="5" spans="1:10" ht="15" customHeight="1">
      <c r="A5" s="3" t="s">
        <v>20</v>
      </c>
      <c r="B5" s="4" t="s">
        <v>31</v>
      </c>
      <c r="C5" s="2" t="s">
        <v>32</v>
      </c>
      <c r="D5" s="2" t="s">
        <v>28</v>
      </c>
      <c r="E5" s="2" t="s">
        <v>33</v>
      </c>
      <c r="F5" s="2" t="s">
        <v>34</v>
      </c>
      <c r="G5" s="2" t="s">
        <v>35</v>
      </c>
      <c r="H5" s="2" t="s">
        <v>17</v>
      </c>
      <c r="I5" s="2" t="s">
        <v>18</v>
      </c>
      <c r="J5" s="2" t="s">
        <v>26</v>
      </c>
    </row>
    <row r="6" spans="1:10" ht="15" customHeight="1">
      <c r="A6" s="3" t="s">
        <v>20</v>
      </c>
      <c r="B6" s="4" t="s">
        <v>31</v>
      </c>
      <c r="C6" s="2" t="s">
        <v>36</v>
      </c>
      <c r="D6" s="2"/>
      <c r="E6" s="2" t="s">
        <v>37</v>
      </c>
      <c r="F6" s="2" t="s">
        <v>37</v>
      </c>
      <c r="G6" s="2" t="s">
        <v>38</v>
      </c>
      <c r="H6" s="2" t="s">
        <v>39</v>
      </c>
      <c r="I6" s="2" t="s">
        <v>18</v>
      </c>
      <c r="J6" s="2" t="s">
        <v>26</v>
      </c>
    </row>
    <row r="7" spans="1:10" ht="15" customHeight="1">
      <c r="A7" s="3" t="s">
        <v>40</v>
      </c>
      <c r="B7" s="4" t="s">
        <v>11</v>
      </c>
      <c r="C7" s="2" t="s">
        <v>41</v>
      </c>
      <c r="D7" s="2"/>
      <c r="E7" s="2" t="s">
        <v>42</v>
      </c>
      <c r="F7" s="2" t="s">
        <v>43</v>
      </c>
      <c r="G7" s="2"/>
      <c r="H7" s="2" t="s">
        <v>17</v>
      </c>
      <c r="I7" s="2" t="s">
        <v>44</v>
      </c>
      <c r="J7" s="2" t="s">
        <v>19</v>
      </c>
    </row>
    <row r="8" spans="1:10" ht="15" customHeight="1">
      <c r="A8" s="3" t="s">
        <v>45</v>
      </c>
      <c r="B8" s="4" t="s">
        <v>11</v>
      </c>
      <c r="C8" s="2" t="s">
        <v>46</v>
      </c>
      <c r="D8" s="2" t="s">
        <v>28</v>
      </c>
      <c r="E8" s="2" t="s">
        <v>47</v>
      </c>
      <c r="F8" s="2" t="s">
        <v>48</v>
      </c>
      <c r="G8" s="2" t="s">
        <v>49</v>
      </c>
      <c r="H8" s="2" t="s">
        <v>17</v>
      </c>
      <c r="I8" s="2" t="s">
        <v>50</v>
      </c>
      <c r="J8" s="2" t="s">
        <v>26</v>
      </c>
    </row>
    <row r="9" spans="1:10" ht="15" customHeight="1">
      <c r="A9" s="3" t="s">
        <v>51</v>
      </c>
      <c r="B9" s="4" t="s">
        <v>11</v>
      </c>
      <c r="C9" s="2" t="s">
        <v>52</v>
      </c>
      <c r="D9" s="2" t="s">
        <v>28</v>
      </c>
      <c r="E9" s="2" t="s">
        <v>53</v>
      </c>
      <c r="F9" s="2" t="s">
        <v>54</v>
      </c>
      <c r="G9" s="2" t="s">
        <v>55</v>
      </c>
      <c r="H9" s="2" t="s">
        <v>39</v>
      </c>
      <c r="I9" s="2" t="s">
        <v>18</v>
      </c>
      <c r="J9" s="2" t="s">
        <v>26</v>
      </c>
    </row>
    <row r="10" spans="1:10" ht="15" customHeight="1">
      <c r="A10" s="3" t="s">
        <v>51</v>
      </c>
      <c r="B10" s="4" t="s">
        <v>11</v>
      </c>
      <c r="C10" s="2" t="s">
        <v>52</v>
      </c>
      <c r="D10" s="2" t="s">
        <v>28</v>
      </c>
      <c r="E10" s="2" t="s">
        <v>56</v>
      </c>
      <c r="F10" s="2" t="s">
        <v>57</v>
      </c>
      <c r="G10" s="2" t="s">
        <v>55</v>
      </c>
      <c r="H10" s="2" t="s">
        <v>39</v>
      </c>
      <c r="I10" s="2" t="s">
        <v>18</v>
      </c>
      <c r="J10" s="2" t="s">
        <v>26</v>
      </c>
    </row>
    <row r="11" spans="1:10" ht="143.25" customHeight="1">
      <c r="A11" s="3" t="s">
        <v>58</v>
      </c>
      <c r="B11" s="4" t="s">
        <v>11</v>
      </c>
      <c r="C11" s="2" t="s">
        <v>59</v>
      </c>
      <c r="D11" s="2" t="s">
        <v>60</v>
      </c>
      <c r="E11" s="2" t="s">
        <v>61</v>
      </c>
      <c r="F11" s="2" t="s">
        <v>62</v>
      </c>
      <c r="G11" s="2" t="s">
        <v>63</v>
      </c>
      <c r="H11" s="2" t="s">
        <v>17</v>
      </c>
      <c r="I11" s="2" t="s">
        <v>18</v>
      </c>
      <c r="J11" s="2" t="s">
        <v>26</v>
      </c>
    </row>
    <row r="12" spans="1:10" ht="228.75" customHeight="1">
      <c r="A12" s="3" t="s">
        <v>64</v>
      </c>
      <c r="B12" s="4" t="s">
        <v>11</v>
      </c>
      <c r="C12" s="2" t="s">
        <v>59</v>
      </c>
      <c r="D12" s="2" t="s">
        <v>65</v>
      </c>
      <c r="E12" s="2" t="s">
        <v>66</v>
      </c>
      <c r="F12" s="2" t="s">
        <v>67</v>
      </c>
      <c r="G12" s="2" t="s">
        <v>68</v>
      </c>
      <c r="H12" s="2" t="s">
        <v>17</v>
      </c>
      <c r="I12" s="2" t="s">
        <v>18</v>
      </c>
      <c r="J12" s="2" t="s">
        <v>26</v>
      </c>
    </row>
    <row r="13" spans="1:10" ht="200.25" customHeight="1">
      <c r="A13" s="3" t="s">
        <v>64</v>
      </c>
      <c r="B13" s="4" t="s">
        <v>11</v>
      </c>
      <c r="C13" s="2" t="s">
        <v>59</v>
      </c>
      <c r="D13" s="2" t="s">
        <v>69</v>
      </c>
      <c r="E13" s="2" t="s">
        <v>70</v>
      </c>
      <c r="F13" s="2" t="s">
        <v>62</v>
      </c>
      <c r="G13" s="2" t="s">
        <v>71</v>
      </c>
      <c r="H13" s="2" t="s">
        <v>17</v>
      </c>
      <c r="I13" s="2" t="s">
        <v>18</v>
      </c>
      <c r="J13" s="2" t="s">
        <v>26</v>
      </c>
    </row>
    <row r="14" spans="1:10" ht="129" customHeight="1">
      <c r="A14" s="3" t="s">
        <v>72</v>
      </c>
      <c r="B14" s="4" t="s">
        <v>73</v>
      </c>
      <c r="C14" s="2" t="s">
        <v>59</v>
      </c>
      <c r="D14" s="2" t="s">
        <v>74</v>
      </c>
      <c r="E14" s="2" t="s">
        <v>75</v>
      </c>
      <c r="F14" s="2" t="s">
        <v>62</v>
      </c>
      <c r="G14" s="2" t="s">
        <v>76</v>
      </c>
      <c r="H14" s="2" t="s">
        <v>17</v>
      </c>
      <c r="I14" s="2" t="s">
        <v>18</v>
      </c>
      <c r="J14" s="2" t="s">
        <v>26</v>
      </c>
    </row>
    <row r="15" spans="1:10" ht="270.75" customHeight="1">
      <c r="A15" s="11">
        <v>46177</v>
      </c>
      <c r="B15" s="10">
        <v>0.33333333333333331</v>
      </c>
      <c r="C15" s="8" t="s">
        <v>77</v>
      </c>
      <c r="D15" s="8" t="s">
        <v>78</v>
      </c>
      <c r="E15" s="8" t="s">
        <v>79</v>
      </c>
      <c r="F15" s="8" t="s">
        <v>80</v>
      </c>
      <c r="G15" s="9" t="s">
        <v>81</v>
      </c>
      <c r="H15" s="8" t="s">
        <v>17</v>
      </c>
      <c r="I15" s="8" t="s">
        <v>18</v>
      </c>
      <c r="J15" s="8" t="s">
        <v>26</v>
      </c>
    </row>
    <row r="16" spans="1:10" ht="270.75" customHeight="1">
      <c r="A16" s="11">
        <v>46178</v>
      </c>
      <c r="B16" s="10">
        <v>0.33333333333333331</v>
      </c>
      <c r="C16" s="8" t="s">
        <v>77</v>
      </c>
      <c r="D16" s="8" t="s">
        <v>78</v>
      </c>
      <c r="E16" s="8" t="s">
        <v>79</v>
      </c>
      <c r="F16" s="8" t="s">
        <v>80</v>
      </c>
      <c r="G16" s="9" t="s">
        <v>81</v>
      </c>
      <c r="H16" s="8" t="s">
        <v>17</v>
      </c>
      <c r="I16" s="8" t="s">
        <v>18</v>
      </c>
      <c r="J16" s="8" t="s">
        <v>26</v>
      </c>
    </row>
    <row r="17" spans="1:10">
      <c r="A17" s="18" t="s">
        <v>45</v>
      </c>
      <c r="B17" s="17" t="s">
        <v>82</v>
      </c>
      <c r="C17" s="14" t="s">
        <v>21</v>
      </c>
      <c r="D17" s="14" t="s">
        <v>28</v>
      </c>
      <c r="E17" s="14" t="s">
        <v>83</v>
      </c>
      <c r="F17" s="14" t="s">
        <v>84</v>
      </c>
      <c r="G17" s="16" t="s">
        <v>85</v>
      </c>
      <c r="H17" t="s">
        <v>17</v>
      </c>
      <c r="I17" s="14" t="s">
        <v>18</v>
      </c>
      <c r="J17" s="15" t="s">
        <v>86</v>
      </c>
    </row>
    <row r="18" spans="1:10">
      <c r="A18" s="18" t="s">
        <v>87</v>
      </c>
      <c r="B18" s="17" t="s">
        <v>82</v>
      </c>
      <c r="C18" s="14" t="s">
        <v>21</v>
      </c>
      <c r="D18" s="14" t="s">
        <v>28</v>
      </c>
      <c r="E18" s="14" t="s">
        <v>83</v>
      </c>
      <c r="F18" s="14" t="s">
        <v>84</v>
      </c>
      <c r="G18" s="16" t="s">
        <v>85</v>
      </c>
      <c r="H18" t="s">
        <v>17</v>
      </c>
      <c r="I18" s="14" t="s">
        <v>18</v>
      </c>
      <c r="J18" s="15" t="s">
        <v>86</v>
      </c>
    </row>
    <row r="19" spans="1:10">
      <c r="A19" s="18" t="s">
        <v>88</v>
      </c>
      <c r="B19" s="17" t="s">
        <v>82</v>
      </c>
      <c r="C19" s="14" t="s">
        <v>21</v>
      </c>
      <c r="D19" s="14" t="s">
        <v>28</v>
      </c>
      <c r="E19" s="14" t="s">
        <v>83</v>
      </c>
      <c r="F19" s="14" t="s">
        <v>84</v>
      </c>
      <c r="G19" s="16" t="s">
        <v>85</v>
      </c>
      <c r="H19" t="s">
        <v>17</v>
      </c>
      <c r="I19" s="14" t="s">
        <v>18</v>
      </c>
      <c r="J19" s="15" t="s">
        <v>86</v>
      </c>
    </row>
    <row r="20" spans="1:10">
      <c r="A20" s="18" t="s">
        <v>72</v>
      </c>
      <c r="B20" s="17" t="s">
        <v>82</v>
      </c>
      <c r="C20" s="14" t="s">
        <v>21</v>
      </c>
      <c r="D20" s="14" t="s">
        <v>28</v>
      </c>
      <c r="E20" s="14" t="s">
        <v>83</v>
      </c>
      <c r="F20" s="14" t="s">
        <v>84</v>
      </c>
      <c r="G20" s="16" t="s">
        <v>85</v>
      </c>
      <c r="H20" t="s">
        <v>17</v>
      </c>
      <c r="I20" s="14" t="s">
        <v>18</v>
      </c>
      <c r="J20" s="15" t="s">
        <v>86</v>
      </c>
    </row>
    <row r="21" spans="1:10">
      <c r="A21" s="18" t="s">
        <v>89</v>
      </c>
      <c r="B21" s="17" t="s">
        <v>73</v>
      </c>
      <c r="C21" s="14" t="s">
        <v>21</v>
      </c>
      <c r="D21" s="14" t="s">
        <v>28</v>
      </c>
      <c r="E21" s="14" t="s">
        <v>90</v>
      </c>
      <c r="F21" s="14" t="s">
        <v>91</v>
      </c>
      <c r="G21" s="16" t="s">
        <v>92</v>
      </c>
      <c r="H21" t="s">
        <v>17</v>
      </c>
      <c r="I21" s="14" t="s">
        <v>18</v>
      </c>
      <c r="J21" s="15" t="s">
        <v>86</v>
      </c>
    </row>
    <row r="22" spans="1:10">
      <c r="A22" s="18" t="s">
        <v>51</v>
      </c>
      <c r="B22" s="17" t="s">
        <v>73</v>
      </c>
      <c r="C22" s="14" t="s">
        <v>21</v>
      </c>
      <c r="D22" s="14" t="s">
        <v>28</v>
      </c>
      <c r="E22" s="14" t="s">
        <v>90</v>
      </c>
      <c r="F22" s="14" t="s">
        <v>91</v>
      </c>
      <c r="G22" s="16" t="s">
        <v>92</v>
      </c>
      <c r="H22" t="s">
        <v>17</v>
      </c>
      <c r="I22" s="14" t="s">
        <v>18</v>
      </c>
      <c r="J22" s="15" t="s">
        <v>86</v>
      </c>
    </row>
    <row r="23" spans="1:10">
      <c r="A23" s="18" t="s">
        <v>93</v>
      </c>
      <c r="B23" s="17" t="s">
        <v>73</v>
      </c>
      <c r="C23" s="14" t="s">
        <v>21</v>
      </c>
      <c r="D23" s="14" t="s">
        <v>28</v>
      </c>
      <c r="E23" s="14" t="s">
        <v>90</v>
      </c>
      <c r="F23" s="14" t="s">
        <v>91</v>
      </c>
      <c r="G23" s="16" t="s">
        <v>92</v>
      </c>
      <c r="H23" t="s">
        <v>17</v>
      </c>
      <c r="I23" s="14" t="s">
        <v>18</v>
      </c>
      <c r="J23" s="15" t="s">
        <v>86</v>
      </c>
    </row>
    <row r="24" spans="1:10">
      <c r="A24" s="18" t="s">
        <v>94</v>
      </c>
      <c r="B24" s="17" t="s">
        <v>73</v>
      </c>
      <c r="C24" s="14" t="s">
        <v>21</v>
      </c>
      <c r="D24" s="14" t="s">
        <v>28</v>
      </c>
      <c r="E24" s="14" t="s">
        <v>90</v>
      </c>
      <c r="F24" s="14" t="s">
        <v>91</v>
      </c>
      <c r="G24" s="16" t="s">
        <v>92</v>
      </c>
      <c r="H24" t="s">
        <v>17</v>
      </c>
      <c r="I24" s="14" t="s">
        <v>18</v>
      </c>
      <c r="J24" s="15" t="s">
        <v>86</v>
      </c>
    </row>
    <row r="25" spans="1:10">
      <c r="A25" s="18" t="s">
        <v>95</v>
      </c>
      <c r="B25" s="17" t="s">
        <v>73</v>
      </c>
      <c r="C25" s="14" t="s">
        <v>21</v>
      </c>
      <c r="D25" s="14" t="s">
        <v>28</v>
      </c>
      <c r="E25" s="14" t="s">
        <v>90</v>
      </c>
      <c r="F25" s="14" t="s">
        <v>91</v>
      </c>
      <c r="G25" s="16" t="s">
        <v>92</v>
      </c>
      <c r="H25" t="s">
        <v>17</v>
      </c>
      <c r="I25" s="14" t="s">
        <v>18</v>
      </c>
      <c r="J25" s="15" t="s">
        <v>86</v>
      </c>
    </row>
    <row r="26" spans="1:10">
      <c r="A26" s="18" t="s">
        <v>89</v>
      </c>
      <c r="B26" s="17" t="s">
        <v>96</v>
      </c>
      <c r="C26" s="14" t="s">
        <v>21</v>
      </c>
      <c r="D26" s="14" t="s">
        <v>28</v>
      </c>
      <c r="E26" s="14" t="s">
        <v>97</v>
      </c>
      <c r="F26" s="14" t="s">
        <v>91</v>
      </c>
      <c r="G26" s="16" t="s">
        <v>92</v>
      </c>
      <c r="H26" t="s">
        <v>17</v>
      </c>
      <c r="I26" s="14" t="s">
        <v>18</v>
      </c>
      <c r="J26" s="15" t="s">
        <v>86</v>
      </c>
    </row>
    <row r="27" spans="1:10">
      <c r="A27" s="18" t="s">
        <v>51</v>
      </c>
      <c r="B27" s="17" t="s">
        <v>96</v>
      </c>
      <c r="C27" s="14" t="s">
        <v>21</v>
      </c>
      <c r="D27" s="14" t="s">
        <v>28</v>
      </c>
      <c r="E27" s="14" t="s">
        <v>97</v>
      </c>
      <c r="F27" s="14" t="s">
        <v>91</v>
      </c>
      <c r="G27" s="16" t="s">
        <v>92</v>
      </c>
      <c r="H27" t="s">
        <v>17</v>
      </c>
      <c r="I27" s="14" t="s">
        <v>18</v>
      </c>
      <c r="J27" s="15" t="s">
        <v>86</v>
      </c>
    </row>
    <row r="28" spans="1:10">
      <c r="A28" s="18" t="s">
        <v>93</v>
      </c>
      <c r="B28" s="17" t="s">
        <v>96</v>
      </c>
      <c r="C28" s="14" t="s">
        <v>21</v>
      </c>
      <c r="D28" s="14" t="s">
        <v>28</v>
      </c>
      <c r="E28" s="14" t="s">
        <v>97</v>
      </c>
      <c r="F28" s="14" t="s">
        <v>91</v>
      </c>
      <c r="G28" s="16" t="s">
        <v>92</v>
      </c>
      <c r="H28" t="s">
        <v>17</v>
      </c>
      <c r="I28" s="14" t="s">
        <v>18</v>
      </c>
      <c r="J28" s="15" t="s">
        <v>86</v>
      </c>
    </row>
    <row r="29" spans="1:10">
      <c r="A29" s="18" t="s">
        <v>94</v>
      </c>
      <c r="B29" s="17" t="s">
        <v>96</v>
      </c>
      <c r="C29" s="14" t="s">
        <v>21</v>
      </c>
      <c r="D29" s="14" t="s">
        <v>28</v>
      </c>
      <c r="E29" s="14" t="s">
        <v>97</v>
      </c>
      <c r="F29" s="14" t="s">
        <v>91</v>
      </c>
      <c r="G29" s="16" t="s">
        <v>92</v>
      </c>
      <c r="H29" t="s">
        <v>17</v>
      </c>
      <c r="I29" s="14" t="s">
        <v>18</v>
      </c>
      <c r="J29" s="15" t="s">
        <v>86</v>
      </c>
    </row>
    <row r="30" spans="1:10">
      <c r="A30" s="18" t="s">
        <v>95</v>
      </c>
      <c r="B30" s="17" t="s">
        <v>96</v>
      </c>
      <c r="C30" s="14" t="s">
        <v>21</v>
      </c>
      <c r="D30" s="14" t="s">
        <v>28</v>
      </c>
      <c r="E30" s="14" t="s">
        <v>97</v>
      </c>
      <c r="F30" s="14" t="s">
        <v>91</v>
      </c>
      <c r="G30" s="16" t="s">
        <v>92</v>
      </c>
      <c r="H30" t="s">
        <v>17</v>
      </c>
      <c r="I30" s="14" t="s">
        <v>18</v>
      </c>
      <c r="J30" s="15" t="s">
        <v>86</v>
      </c>
    </row>
    <row r="31" spans="1:10">
      <c r="A31" s="18" t="s">
        <v>89</v>
      </c>
      <c r="B31" s="17" t="s">
        <v>98</v>
      </c>
      <c r="C31" s="14" t="s">
        <v>21</v>
      </c>
      <c r="D31" s="14" t="s">
        <v>28</v>
      </c>
      <c r="E31" s="14" t="s">
        <v>99</v>
      </c>
      <c r="F31" s="14" t="s">
        <v>100</v>
      </c>
      <c r="G31" s="16" t="s">
        <v>92</v>
      </c>
      <c r="H31" t="s">
        <v>17</v>
      </c>
      <c r="I31" s="14" t="s">
        <v>18</v>
      </c>
      <c r="J31" s="15" t="s">
        <v>86</v>
      </c>
    </row>
    <row r="32" spans="1:10">
      <c r="A32" s="18" t="s">
        <v>51</v>
      </c>
      <c r="B32" s="17" t="s">
        <v>98</v>
      </c>
      <c r="C32" s="14" t="s">
        <v>21</v>
      </c>
      <c r="D32" s="14" t="s">
        <v>28</v>
      </c>
      <c r="E32" s="14" t="s">
        <v>99</v>
      </c>
      <c r="F32" s="14" t="s">
        <v>100</v>
      </c>
      <c r="G32" s="16" t="s">
        <v>92</v>
      </c>
      <c r="H32" t="s">
        <v>17</v>
      </c>
      <c r="I32" s="14" t="s">
        <v>18</v>
      </c>
      <c r="J32" s="15" t="s">
        <v>86</v>
      </c>
    </row>
    <row r="33" spans="1:10">
      <c r="A33" s="18" t="s">
        <v>93</v>
      </c>
      <c r="B33" s="17" t="s">
        <v>98</v>
      </c>
      <c r="C33" s="14" t="s">
        <v>21</v>
      </c>
      <c r="D33" s="14" t="s">
        <v>28</v>
      </c>
      <c r="E33" s="14" t="s">
        <v>99</v>
      </c>
      <c r="F33" s="14" t="s">
        <v>100</v>
      </c>
      <c r="G33" s="16" t="s">
        <v>92</v>
      </c>
      <c r="H33" t="s">
        <v>17</v>
      </c>
      <c r="I33" s="14" t="s">
        <v>18</v>
      </c>
      <c r="J33" s="15" t="s">
        <v>86</v>
      </c>
    </row>
    <row r="34" spans="1:10">
      <c r="A34" s="18" t="s">
        <v>94</v>
      </c>
      <c r="B34" s="17" t="s">
        <v>98</v>
      </c>
      <c r="C34" s="14" t="s">
        <v>21</v>
      </c>
      <c r="D34" s="14" t="s">
        <v>28</v>
      </c>
      <c r="E34" s="14" t="s">
        <v>99</v>
      </c>
      <c r="F34" s="14" t="s">
        <v>100</v>
      </c>
      <c r="G34" s="16" t="s">
        <v>92</v>
      </c>
      <c r="H34" t="s">
        <v>17</v>
      </c>
      <c r="I34" s="14" t="s">
        <v>18</v>
      </c>
      <c r="J34" s="15" t="s">
        <v>86</v>
      </c>
    </row>
    <row r="35" spans="1:10">
      <c r="A35" s="18" t="s">
        <v>95</v>
      </c>
      <c r="B35" s="17" t="s">
        <v>98</v>
      </c>
      <c r="C35" s="14" t="s">
        <v>21</v>
      </c>
      <c r="D35" s="14" t="s">
        <v>28</v>
      </c>
      <c r="E35" s="14" t="s">
        <v>99</v>
      </c>
      <c r="F35" s="14" t="s">
        <v>100</v>
      </c>
      <c r="G35" s="16" t="s">
        <v>92</v>
      </c>
      <c r="H35" t="s">
        <v>17</v>
      </c>
      <c r="I35" s="14" t="s">
        <v>18</v>
      </c>
      <c r="J35" s="15" t="s">
        <v>86</v>
      </c>
    </row>
    <row r="36" spans="1:10">
      <c r="A36" s="18" t="s">
        <v>89</v>
      </c>
      <c r="B36" s="17" t="s">
        <v>98</v>
      </c>
      <c r="C36" s="14" t="s">
        <v>21</v>
      </c>
      <c r="D36" s="14" t="s">
        <v>28</v>
      </c>
      <c r="E36" s="14" t="s">
        <v>101</v>
      </c>
      <c r="F36" s="14" t="s">
        <v>102</v>
      </c>
      <c r="G36" s="16" t="s">
        <v>92</v>
      </c>
      <c r="H36" t="s">
        <v>17</v>
      </c>
      <c r="I36" s="14" t="s">
        <v>18</v>
      </c>
      <c r="J36" s="15" t="s">
        <v>86</v>
      </c>
    </row>
    <row r="37" spans="1:10">
      <c r="A37" s="18" t="s">
        <v>51</v>
      </c>
      <c r="B37" s="17" t="s">
        <v>98</v>
      </c>
      <c r="C37" s="14" t="s">
        <v>21</v>
      </c>
      <c r="D37" s="14" t="s">
        <v>28</v>
      </c>
      <c r="E37" s="14" t="s">
        <v>101</v>
      </c>
      <c r="F37" s="14" t="s">
        <v>102</v>
      </c>
      <c r="G37" s="16" t="s">
        <v>92</v>
      </c>
      <c r="H37" t="s">
        <v>17</v>
      </c>
      <c r="I37" s="14" t="s">
        <v>18</v>
      </c>
      <c r="J37" s="15" t="s">
        <v>86</v>
      </c>
    </row>
    <row r="38" spans="1:10">
      <c r="A38" s="18" t="s">
        <v>93</v>
      </c>
      <c r="B38" s="17" t="s">
        <v>98</v>
      </c>
      <c r="C38" s="14" t="s">
        <v>21</v>
      </c>
      <c r="D38" s="14" t="s">
        <v>28</v>
      </c>
      <c r="E38" s="14" t="s">
        <v>101</v>
      </c>
      <c r="F38" s="14" t="s">
        <v>102</v>
      </c>
      <c r="G38" s="16" t="s">
        <v>92</v>
      </c>
      <c r="H38" t="s">
        <v>17</v>
      </c>
      <c r="I38" s="14" t="s">
        <v>18</v>
      </c>
      <c r="J38" s="15" t="s">
        <v>86</v>
      </c>
    </row>
    <row r="39" spans="1:10">
      <c r="A39" s="18" t="s">
        <v>94</v>
      </c>
      <c r="B39" s="17" t="s">
        <v>98</v>
      </c>
      <c r="C39" s="14" t="s">
        <v>21</v>
      </c>
      <c r="D39" s="14" t="s">
        <v>28</v>
      </c>
      <c r="E39" s="14" t="s">
        <v>101</v>
      </c>
      <c r="F39" s="14" t="s">
        <v>102</v>
      </c>
      <c r="G39" s="16" t="s">
        <v>92</v>
      </c>
      <c r="H39" t="s">
        <v>17</v>
      </c>
      <c r="I39" s="14" t="s">
        <v>18</v>
      </c>
      <c r="J39" s="15" t="s">
        <v>86</v>
      </c>
    </row>
    <row r="40" spans="1:10">
      <c r="A40" s="18" t="s">
        <v>95</v>
      </c>
      <c r="B40" s="17" t="s">
        <v>98</v>
      </c>
      <c r="C40" s="14" t="s">
        <v>21</v>
      </c>
      <c r="D40" s="14" t="s">
        <v>28</v>
      </c>
      <c r="E40" s="14" t="s">
        <v>101</v>
      </c>
      <c r="F40" s="14" t="s">
        <v>102</v>
      </c>
      <c r="G40" s="16" t="s">
        <v>92</v>
      </c>
      <c r="H40" t="s">
        <v>17</v>
      </c>
      <c r="I40" s="14" t="s">
        <v>18</v>
      </c>
      <c r="J40" s="15" t="s">
        <v>86</v>
      </c>
    </row>
    <row r="41" spans="1:10">
      <c r="A41" s="18" t="s">
        <v>89</v>
      </c>
      <c r="B41" s="17" t="s">
        <v>103</v>
      </c>
      <c r="C41" s="14" t="s">
        <v>21</v>
      </c>
      <c r="D41" s="14" t="s">
        <v>28</v>
      </c>
      <c r="E41" s="14" t="s">
        <v>104</v>
      </c>
      <c r="F41" s="14" t="s">
        <v>105</v>
      </c>
      <c r="G41" s="16" t="s">
        <v>92</v>
      </c>
      <c r="H41" t="s">
        <v>17</v>
      </c>
      <c r="I41" s="14" t="s">
        <v>18</v>
      </c>
      <c r="J41" s="15" t="s">
        <v>86</v>
      </c>
    </row>
    <row r="42" spans="1:10">
      <c r="A42" s="18" t="s">
        <v>51</v>
      </c>
      <c r="B42" s="17" t="s">
        <v>103</v>
      </c>
      <c r="C42" s="14" t="s">
        <v>21</v>
      </c>
      <c r="D42" s="14" t="s">
        <v>28</v>
      </c>
      <c r="E42" s="14" t="s">
        <v>104</v>
      </c>
      <c r="F42" s="14" t="s">
        <v>105</v>
      </c>
      <c r="G42" s="16" t="s">
        <v>92</v>
      </c>
      <c r="H42" t="s">
        <v>17</v>
      </c>
      <c r="I42" s="14" t="s">
        <v>18</v>
      </c>
      <c r="J42" s="15" t="s">
        <v>86</v>
      </c>
    </row>
    <row r="43" spans="1:10">
      <c r="A43" s="18" t="s">
        <v>93</v>
      </c>
      <c r="B43" s="17" t="s">
        <v>103</v>
      </c>
      <c r="C43" s="14" t="s">
        <v>21</v>
      </c>
      <c r="D43" s="14" t="s">
        <v>28</v>
      </c>
      <c r="E43" s="14" t="s">
        <v>104</v>
      </c>
      <c r="F43" s="14" t="s">
        <v>105</v>
      </c>
      <c r="G43" s="16" t="s">
        <v>92</v>
      </c>
      <c r="H43" t="s">
        <v>17</v>
      </c>
      <c r="I43" s="14" t="s">
        <v>18</v>
      </c>
      <c r="J43" s="15" t="s">
        <v>86</v>
      </c>
    </row>
    <row r="44" spans="1:10">
      <c r="A44" s="18" t="s">
        <v>94</v>
      </c>
      <c r="B44" s="17" t="s">
        <v>103</v>
      </c>
      <c r="C44" s="14" t="s">
        <v>21</v>
      </c>
      <c r="D44" s="14" t="s">
        <v>28</v>
      </c>
      <c r="E44" s="14" t="s">
        <v>104</v>
      </c>
      <c r="F44" s="14" t="s">
        <v>105</v>
      </c>
      <c r="G44" s="16" t="s">
        <v>92</v>
      </c>
      <c r="H44" t="s">
        <v>17</v>
      </c>
      <c r="I44" s="14" t="s">
        <v>18</v>
      </c>
      <c r="J44" s="15" t="s">
        <v>86</v>
      </c>
    </row>
    <row r="45" spans="1:10">
      <c r="A45" s="18" t="s">
        <v>95</v>
      </c>
      <c r="B45" s="17" t="s">
        <v>103</v>
      </c>
      <c r="C45" s="14" t="s">
        <v>21</v>
      </c>
      <c r="D45" s="14" t="s">
        <v>28</v>
      </c>
      <c r="E45" s="14" t="s">
        <v>104</v>
      </c>
      <c r="F45" s="14" t="s">
        <v>105</v>
      </c>
      <c r="G45" s="16" t="s">
        <v>92</v>
      </c>
      <c r="H45" t="s">
        <v>17</v>
      </c>
      <c r="I45" s="14" t="s">
        <v>18</v>
      </c>
      <c r="J45" s="15" t="s">
        <v>86</v>
      </c>
    </row>
    <row r="46" spans="1:10">
      <c r="A46" s="18" t="s">
        <v>89</v>
      </c>
      <c r="B46" s="17" t="s">
        <v>103</v>
      </c>
      <c r="C46" s="14" t="s">
        <v>21</v>
      </c>
      <c r="D46" s="14" t="s">
        <v>28</v>
      </c>
      <c r="E46" s="14" t="s">
        <v>90</v>
      </c>
      <c r="F46" s="14" t="s">
        <v>91</v>
      </c>
      <c r="G46" s="16" t="s">
        <v>92</v>
      </c>
      <c r="H46" t="s">
        <v>17</v>
      </c>
      <c r="I46" s="14" t="s">
        <v>18</v>
      </c>
      <c r="J46" s="15" t="s">
        <v>86</v>
      </c>
    </row>
    <row r="47" spans="1:10">
      <c r="A47" s="18" t="s">
        <v>51</v>
      </c>
      <c r="B47" s="17" t="s">
        <v>103</v>
      </c>
      <c r="C47" s="14" t="s">
        <v>21</v>
      </c>
      <c r="D47" s="14" t="s">
        <v>28</v>
      </c>
      <c r="E47" s="14" t="s">
        <v>90</v>
      </c>
      <c r="F47" s="14" t="s">
        <v>91</v>
      </c>
      <c r="G47" s="16" t="s">
        <v>92</v>
      </c>
      <c r="H47" t="s">
        <v>17</v>
      </c>
      <c r="I47" s="14" t="s">
        <v>18</v>
      </c>
      <c r="J47" s="15" t="s">
        <v>86</v>
      </c>
    </row>
    <row r="48" spans="1:10">
      <c r="A48" s="18" t="s">
        <v>93</v>
      </c>
      <c r="B48" s="17" t="s">
        <v>103</v>
      </c>
      <c r="C48" s="14" t="s">
        <v>21</v>
      </c>
      <c r="D48" s="14" t="s">
        <v>28</v>
      </c>
      <c r="E48" s="14" t="s">
        <v>90</v>
      </c>
      <c r="F48" s="14" t="s">
        <v>91</v>
      </c>
      <c r="G48" s="16" t="s">
        <v>92</v>
      </c>
      <c r="H48" t="s">
        <v>17</v>
      </c>
      <c r="I48" s="14" t="s">
        <v>18</v>
      </c>
      <c r="J48" s="15" t="s">
        <v>86</v>
      </c>
    </row>
    <row r="49" spans="1:10">
      <c r="A49" s="18" t="s">
        <v>94</v>
      </c>
      <c r="B49" s="17" t="s">
        <v>103</v>
      </c>
      <c r="C49" s="14" t="s">
        <v>21</v>
      </c>
      <c r="D49" s="14" t="s">
        <v>28</v>
      </c>
      <c r="E49" s="14" t="s">
        <v>90</v>
      </c>
      <c r="F49" s="14" t="s">
        <v>91</v>
      </c>
      <c r="G49" s="16" t="s">
        <v>92</v>
      </c>
      <c r="H49" t="s">
        <v>17</v>
      </c>
      <c r="I49" s="14" t="s">
        <v>18</v>
      </c>
      <c r="J49" s="15" t="s">
        <v>86</v>
      </c>
    </row>
    <row r="50" spans="1:10">
      <c r="A50" s="18" t="s">
        <v>95</v>
      </c>
      <c r="B50" s="17" t="s">
        <v>103</v>
      </c>
      <c r="C50" s="14" t="s">
        <v>21</v>
      </c>
      <c r="D50" s="14" t="s">
        <v>28</v>
      </c>
      <c r="E50" s="14" t="s">
        <v>90</v>
      </c>
      <c r="F50" s="14" t="s">
        <v>91</v>
      </c>
      <c r="G50" s="16" t="s">
        <v>92</v>
      </c>
      <c r="H50" t="s">
        <v>17</v>
      </c>
      <c r="I50" s="14" t="s">
        <v>18</v>
      </c>
      <c r="J50" s="15" t="s">
        <v>86</v>
      </c>
    </row>
    <row r="51" spans="1:10">
      <c r="A51" s="18" t="s">
        <v>89</v>
      </c>
      <c r="B51" s="17" t="s">
        <v>106</v>
      </c>
      <c r="C51" s="14" t="s">
        <v>21</v>
      </c>
      <c r="D51" s="14" t="s">
        <v>28</v>
      </c>
      <c r="E51" s="14" t="s">
        <v>101</v>
      </c>
      <c r="F51" s="14" t="s">
        <v>107</v>
      </c>
      <c r="G51" s="16" t="s">
        <v>108</v>
      </c>
      <c r="H51" t="s">
        <v>17</v>
      </c>
      <c r="I51" s="14" t="s">
        <v>18</v>
      </c>
      <c r="J51" s="15" t="s">
        <v>86</v>
      </c>
    </row>
    <row r="52" spans="1:10">
      <c r="A52" s="18" t="s">
        <v>51</v>
      </c>
      <c r="B52" s="17" t="s">
        <v>106</v>
      </c>
      <c r="C52" s="14" t="s">
        <v>21</v>
      </c>
      <c r="D52" s="14" t="s">
        <v>28</v>
      </c>
      <c r="E52" s="14" t="s">
        <v>101</v>
      </c>
      <c r="F52" s="14" t="s">
        <v>107</v>
      </c>
      <c r="G52" s="16" t="s">
        <v>108</v>
      </c>
      <c r="H52" t="s">
        <v>17</v>
      </c>
      <c r="I52" s="14" t="s">
        <v>18</v>
      </c>
      <c r="J52" s="15" t="s">
        <v>86</v>
      </c>
    </row>
    <row r="53" spans="1:10">
      <c r="A53" s="18" t="s">
        <v>93</v>
      </c>
      <c r="B53" s="17" t="s">
        <v>106</v>
      </c>
      <c r="C53" s="14" t="s">
        <v>21</v>
      </c>
      <c r="D53" s="14" t="s">
        <v>28</v>
      </c>
      <c r="E53" s="14" t="s">
        <v>101</v>
      </c>
      <c r="F53" s="14" t="s">
        <v>107</v>
      </c>
      <c r="G53" s="16" t="s">
        <v>108</v>
      </c>
      <c r="H53" t="s">
        <v>17</v>
      </c>
      <c r="I53" s="14" t="s">
        <v>18</v>
      </c>
      <c r="J53" s="15" t="s">
        <v>86</v>
      </c>
    </row>
    <row r="54" spans="1:10">
      <c r="A54" s="18" t="s">
        <v>94</v>
      </c>
      <c r="B54" s="17" t="s">
        <v>106</v>
      </c>
      <c r="C54" s="14" t="s">
        <v>21</v>
      </c>
      <c r="D54" s="14" t="s">
        <v>28</v>
      </c>
      <c r="E54" s="14" t="s">
        <v>101</v>
      </c>
      <c r="F54" s="14" t="s">
        <v>107</v>
      </c>
      <c r="G54" s="16" t="s">
        <v>108</v>
      </c>
      <c r="H54" t="s">
        <v>17</v>
      </c>
      <c r="I54" s="14" t="s">
        <v>18</v>
      </c>
      <c r="J54" s="15" t="s">
        <v>86</v>
      </c>
    </row>
    <row r="55" spans="1:10">
      <c r="A55" s="18" t="s">
        <v>95</v>
      </c>
      <c r="B55" s="17" t="s">
        <v>106</v>
      </c>
      <c r="C55" s="14" t="s">
        <v>21</v>
      </c>
      <c r="D55" s="14" t="s">
        <v>28</v>
      </c>
      <c r="E55" s="14" t="s">
        <v>101</v>
      </c>
      <c r="F55" s="14" t="s">
        <v>107</v>
      </c>
      <c r="G55" s="16" t="s">
        <v>108</v>
      </c>
      <c r="H55" t="s">
        <v>17</v>
      </c>
      <c r="I55" s="14" t="s">
        <v>18</v>
      </c>
      <c r="J55" s="15" t="s">
        <v>86</v>
      </c>
    </row>
    <row r="56" spans="1:10">
      <c r="A56" s="18" t="s">
        <v>89</v>
      </c>
      <c r="B56" s="17" t="s">
        <v>109</v>
      </c>
      <c r="C56" s="14" t="s">
        <v>21</v>
      </c>
      <c r="D56" s="14" t="s">
        <v>28</v>
      </c>
      <c r="E56" s="14" t="s">
        <v>110</v>
      </c>
      <c r="F56" s="14" t="s">
        <v>111</v>
      </c>
      <c r="G56" s="16" t="s">
        <v>108</v>
      </c>
      <c r="H56" t="s">
        <v>17</v>
      </c>
      <c r="I56" s="14" t="s">
        <v>18</v>
      </c>
      <c r="J56" s="15" t="s">
        <v>86</v>
      </c>
    </row>
    <row r="57" spans="1:10">
      <c r="A57" s="18" t="s">
        <v>51</v>
      </c>
      <c r="B57" s="17" t="s">
        <v>109</v>
      </c>
      <c r="C57" s="14" t="s">
        <v>21</v>
      </c>
      <c r="D57" s="14" t="s">
        <v>28</v>
      </c>
      <c r="E57" s="14" t="s">
        <v>110</v>
      </c>
      <c r="F57" s="14" t="s">
        <v>111</v>
      </c>
      <c r="G57" s="16" t="s">
        <v>108</v>
      </c>
      <c r="H57" t="s">
        <v>17</v>
      </c>
      <c r="I57" s="14" t="s">
        <v>18</v>
      </c>
      <c r="J57" s="15" t="s">
        <v>86</v>
      </c>
    </row>
    <row r="58" spans="1:10">
      <c r="A58" s="18" t="s">
        <v>93</v>
      </c>
      <c r="B58" s="17" t="s">
        <v>109</v>
      </c>
      <c r="C58" s="14" t="s">
        <v>21</v>
      </c>
      <c r="D58" s="14" t="s">
        <v>28</v>
      </c>
      <c r="E58" s="14" t="s">
        <v>110</v>
      </c>
      <c r="F58" s="14" t="s">
        <v>111</v>
      </c>
      <c r="G58" s="16" t="s">
        <v>108</v>
      </c>
      <c r="H58" t="s">
        <v>17</v>
      </c>
      <c r="I58" s="14" t="s">
        <v>18</v>
      </c>
      <c r="J58" s="15" t="s">
        <v>86</v>
      </c>
    </row>
    <row r="59" spans="1:10">
      <c r="A59" s="18" t="s">
        <v>94</v>
      </c>
      <c r="B59" s="17" t="s">
        <v>109</v>
      </c>
      <c r="C59" s="14" t="s">
        <v>21</v>
      </c>
      <c r="D59" s="14" t="s">
        <v>28</v>
      </c>
      <c r="E59" s="14" t="s">
        <v>110</v>
      </c>
      <c r="F59" s="14" t="s">
        <v>111</v>
      </c>
      <c r="G59" s="16" t="s">
        <v>108</v>
      </c>
      <c r="H59" t="s">
        <v>17</v>
      </c>
      <c r="I59" s="14" t="s">
        <v>18</v>
      </c>
      <c r="J59" s="15" t="s">
        <v>86</v>
      </c>
    </row>
    <row r="60" spans="1:10">
      <c r="A60" s="18" t="s">
        <v>95</v>
      </c>
      <c r="B60" s="17" t="s">
        <v>109</v>
      </c>
      <c r="C60" s="14" t="s">
        <v>21</v>
      </c>
      <c r="D60" s="14" t="s">
        <v>28</v>
      </c>
      <c r="E60" s="14" t="s">
        <v>110</v>
      </c>
      <c r="F60" s="14" t="s">
        <v>111</v>
      </c>
      <c r="G60" s="16" t="s">
        <v>108</v>
      </c>
      <c r="H60" t="s">
        <v>17</v>
      </c>
      <c r="I60" s="14" t="s">
        <v>18</v>
      </c>
      <c r="J60" s="15" t="s">
        <v>86</v>
      </c>
    </row>
    <row r="61" spans="1:10">
      <c r="A61" s="18" t="s">
        <v>89</v>
      </c>
      <c r="B61" s="17" t="s">
        <v>109</v>
      </c>
      <c r="C61" s="14" t="s">
        <v>21</v>
      </c>
      <c r="D61" s="14" t="s">
        <v>28</v>
      </c>
      <c r="E61" s="14" t="s">
        <v>97</v>
      </c>
      <c r="F61" s="14" t="s">
        <v>91</v>
      </c>
      <c r="G61" s="16" t="s">
        <v>92</v>
      </c>
      <c r="H61" t="s">
        <v>17</v>
      </c>
      <c r="I61" s="14" t="s">
        <v>18</v>
      </c>
      <c r="J61" s="15" t="s">
        <v>86</v>
      </c>
    </row>
    <row r="62" spans="1:10">
      <c r="A62" s="18" t="s">
        <v>51</v>
      </c>
      <c r="B62" s="17" t="s">
        <v>109</v>
      </c>
      <c r="C62" s="14" t="s">
        <v>21</v>
      </c>
      <c r="D62" s="14" t="s">
        <v>28</v>
      </c>
      <c r="E62" s="14" t="s">
        <v>97</v>
      </c>
      <c r="F62" s="14" t="s">
        <v>91</v>
      </c>
      <c r="G62" s="16" t="s">
        <v>92</v>
      </c>
      <c r="H62" t="s">
        <v>17</v>
      </c>
      <c r="I62" s="14" t="s">
        <v>18</v>
      </c>
      <c r="J62" s="15" t="s">
        <v>86</v>
      </c>
    </row>
    <row r="63" spans="1:10">
      <c r="A63" s="18" t="s">
        <v>93</v>
      </c>
      <c r="B63" s="17" t="s">
        <v>109</v>
      </c>
      <c r="C63" s="14" t="s">
        <v>21</v>
      </c>
      <c r="D63" s="14" t="s">
        <v>28</v>
      </c>
      <c r="E63" s="14" t="s">
        <v>97</v>
      </c>
      <c r="F63" s="14" t="s">
        <v>91</v>
      </c>
      <c r="G63" s="16" t="s">
        <v>92</v>
      </c>
      <c r="H63" t="s">
        <v>17</v>
      </c>
      <c r="I63" s="14" t="s">
        <v>18</v>
      </c>
      <c r="J63" s="15" t="s">
        <v>86</v>
      </c>
    </row>
    <row r="64" spans="1:10">
      <c r="A64" s="18" t="s">
        <v>94</v>
      </c>
      <c r="B64" s="17" t="s">
        <v>109</v>
      </c>
      <c r="C64" s="14" t="s">
        <v>21</v>
      </c>
      <c r="D64" s="14" t="s">
        <v>28</v>
      </c>
      <c r="E64" s="14" t="s">
        <v>97</v>
      </c>
      <c r="F64" s="14" t="s">
        <v>91</v>
      </c>
      <c r="G64" s="16" t="s">
        <v>92</v>
      </c>
      <c r="H64" t="s">
        <v>17</v>
      </c>
      <c r="I64" s="14" t="s">
        <v>18</v>
      </c>
      <c r="J64" s="15" t="s">
        <v>86</v>
      </c>
    </row>
    <row r="65" spans="1:10">
      <c r="A65" s="18" t="s">
        <v>95</v>
      </c>
      <c r="B65" s="17" t="s">
        <v>109</v>
      </c>
      <c r="C65" s="14" t="s">
        <v>21</v>
      </c>
      <c r="D65" s="14" t="s">
        <v>28</v>
      </c>
      <c r="E65" s="14" t="s">
        <v>97</v>
      </c>
      <c r="F65" s="14" t="s">
        <v>91</v>
      </c>
      <c r="G65" s="16" t="s">
        <v>92</v>
      </c>
      <c r="H65" t="s">
        <v>17</v>
      </c>
      <c r="I65" s="14" t="s">
        <v>18</v>
      </c>
      <c r="J65" s="15" t="s">
        <v>86</v>
      </c>
    </row>
    <row r="66" spans="1:10">
      <c r="A66" s="18" t="s">
        <v>112</v>
      </c>
      <c r="B66" s="17" t="s">
        <v>82</v>
      </c>
      <c r="C66" s="14" t="s">
        <v>21</v>
      </c>
      <c r="D66" s="14" t="s">
        <v>28</v>
      </c>
      <c r="E66" s="14" t="s">
        <v>83</v>
      </c>
      <c r="F66" s="14" t="s">
        <v>113</v>
      </c>
      <c r="G66" s="16" t="s">
        <v>114</v>
      </c>
      <c r="H66" t="s">
        <v>17</v>
      </c>
      <c r="I66" s="14" t="s">
        <v>18</v>
      </c>
      <c r="J66" s="15" t="s">
        <v>86</v>
      </c>
    </row>
    <row r="67" spans="1:10">
      <c r="A67" s="18" t="s">
        <v>115</v>
      </c>
      <c r="B67" s="17" t="s">
        <v>82</v>
      </c>
      <c r="C67" s="14" t="s">
        <v>21</v>
      </c>
      <c r="D67" s="14" t="s">
        <v>28</v>
      </c>
      <c r="E67" s="14" t="s">
        <v>83</v>
      </c>
      <c r="F67" s="14" t="s">
        <v>113</v>
      </c>
      <c r="G67" s="16" t="s">
        <v>114</v>
      </c>
      <c r="H67" t="s">
        <v>17</v>
      </c>
      <c r="I67" s="14" t="s">
        <v>18</v>
      </c>
      <c r="J67" s="15" t="s">
        <v>86</v>
      </c>
    </row>
    <row r="68" spans="1:10">
      <c r="A68" s="18" t="s">
        <v>116</v>
      </c>
      <c r="B68" s="17" t="s">
        <v>82</v>
      </c>
      <c r="C68" s="14" t="s">
        <v>21</v>
      </c>
      <c r="D68" s="14" t="s">
        <v>28</v>
      </c>
      <c r="E68" s="14" t="s">
        <v>83</v>
      </c>
      <c r="F68" s="14" t="s">
        <v>113</v>
      </c>
      <c r="G68" s="16" t="s">
        <v>114</v>
      </c>
      <c r="H68" t="s">
        <v>17</v>
      </c>
      <c r="I68" s="14" t="s">
        <v>18</v>
      </c>
      <c r="J68" s="15" t="s">
        <v>86</v>
      </c>
    </row>
    <row r="69" spans="1:10">
      <c r="A69" s="18" t="s">
        <v>58</v>
      </c>
      <c r="B69" s="17" t="s">
        <v>82</v>
      </c>
      <c r="C69" s="14" t="s">
        <v>21</v>
      </c>
      <c r="D69" s="14" t="s">
        <v>28</v>
      </c>
      <c r="E69" s="14" t="s">
        <v>83</v>
      </c>
      <c r="F69" s="14" t="s">
        <v>113</v>
      </c>
      <c r="G69" s="16" t="s">
        <v>114</v>
      </c>
      <c r="H69" t="s">
        <v>17</v>
      </c>
      <c r="I69" s="14" t="s">
        <v>18</v>
      </c>
      <c r="J69" s="15" t="s">
        <v>86</v>
      </c>
    </row>
    <row r="70" spans="1:10">
      <c r="A70" s="18" t="s">
        <v>117</v>
      </c>
      <c r="B70" s="17" t="s">
        <v>118</v>
      </c>
      <c r="C70" s="14" t="s">
        <v>21</v>
      </c>
      <c r="D70" s="14" t="s">
        <v>28</v>
      </c>
      <c r="E70" s="14" t="s">
        <v>99</v>
      </c>
      <c r="F70" s="14" t="s">
        <v>105</v>
      </c>
      <c r="G70" s="16" t="s">
        <v>92</v>
      </c>
      <c r="H70" t="s">
        <v>17</v>
      </c>
      <c r="I70" s="14" t="s">
        <v>18</v>
      </c>
      <c r="J70" s="15" t="s">
        <v>86</v>
      </c>
    </row>
    <row r="71" spans="1:10">
      <c r="A71" s="18" t="s">
        <v>119</v>
      </c>
      <c r="B71" s="17" t="s">
        <v>118</v>
      </c>
      <c r="C71" s="14" t="s">
        <v>21</v>
      </c>
      <c r="D71" s="14" t="s">
        <v>28</v>
      </c>
      <c r="E71" s="14" t="s">
        <v>99</v>
      </c>
      <c r="F71" s="14" t="s">
        <v>105</v>
      </c>
      <c r="G71" s="16" t="s">
        <v>92</v>
      </c>
      <c r="H71" t="s">
        <v>17</v>
      </c>
      <c r="I71" s="14" t="s">
        <v>18</v>
      </c>
      <c r="J71" s="15" t="s">
        <v>86</v>
      </c>
    </row>
    <row r="72" spans="1:10">
      <c r="A72" s="18" t="s">
        <v>120</v>
      </c>
      <c r="B72" s="17" t="s">
        <v>118</v>
      </c>
      <c r="C72" s="14" t="s">
        <v>21</v>
      </c>
      <c r="D72" s="14" t="s">
        <v>28</v>
      </c>
      <c r="E72" s="14" t="s">
        <v>99</v>
      </c>
      <c r="F72" s="14" t="s">
        <v>105</v>
      </c>
      <c r="G72" s="16" t="s">
        <v>92</v>
      </c>
      <c r="H72" t="s">
        <v>17</v>
      </c>
      <c r="I72" s="14" t="s">
        <v>18</v>
      </c>
      <c r="J72" s="15" t="s">
        <v>86</v>
      </c>
    </row>
    <row r="73" spans="1:10">
      <c r="A73" s="18" t="s">
        <v>64</v>
      </c>
      <c r="B73" s="17" t="s">
        <v>118</v>
      </c>
      <c r="C73" s="14" t="s">
        <v>21</v>
      </c>
      <c r="D73" s="14" t="s">
        <v>28</v>
      </c>
      <c r="E73" s="14" t="s">
        <v>99</v>
      </c>
      <c r="F73" s="14" t="s">
        <v>105</v>
      </c>
      <c r="G73" s="16" t="s">
        <v>92</v>
      </c>
      <c r="H73" t="s">
        <v>17</v>
      </c>
      <c r="I73" s="14" t="s">
        <v>18</v>
      </c>
      <c r="J73" s="15" t="s">
        <v>86</v>
      </c>
    </row>
    <row r="74" spans="1:10">
      <c r="A74" s="18" t="s">
        <v>117</v>
      </c>
      <c r="B74" s="17" t="s">
        <v>103</v>
      </c>
      <c r="C74" s="14" t="s">
        <v>21</v>
      </c>
      <c r="D74" s="14" t="s">
        <v>28</v>
      </c>
      <c r="E74" s="14" t="s">
        <v>104</v>
      </c>
      <c r="F74" s="14" t="s">
        <v>121</v>
      </c>
      <c r="G74" s="16" t="s">
        <v>108</v>
      </c>
      <c r="H74" t="s">
        <v>17</v>
      </c>
      <c r="I74" s="14" t="s">
        <v>18</v>
      </c>
      <c r="J74" s="15" t="s">
        <v>86</v>
      </c>
    </row>
    <row r="75" spans="1:10">
      <c r="A75" s="18" t="s">
        <v>119</v>
      </c>
      <c r="B75" s="17" t="s">
        <v>103</v>
      </c>
      <c r="C75" s="14" t="s">
        <v>21</v>
      </c>
      <c r="D75" s="14" t="s">
        <v>28</v>
      </c>
      <c r="E75" s="14" t="s">
        <v>104</v>
      </c>
      <c r="F75" s="14" t="s">
        <v>121</v>
      </c>
      <c r="G75" s="16" t="s">
        <v>108</v>
      </c>
      <c r="H75" t="s">
        <v>17</v>
      </c>
      <c r="I75" s="14" t="s">
        <v>18</v>
      </c>
      <c r="J75" s="15" t="s">
        <v>86</v>
      </c>
    </row>
    <row r="76" spans="1:10">
      <c r="A76" s="18" t="s">
        <v>120</v>
      </c>
      <c r="B76" s="17" t="s">
        <v>103</v>
      </c>
      <c r="C76" s="14" t="s">
        <v>21</v>
      </c>
      <c r="D76" s="14" t="s">
        <v>28</v>
      </c>
      <c r="E76" s="14" t="s">
        <v>104</v>
      </c>
      <c r="F76" s="14" t="s">
        <v>121</v>
      </c>
      <c r="G76" s="16" t="s">
        <v>108</v>
      </c>
      <c r="H76" t="s">
        <v>17</v>
      </c>
      <c r="I76" s="14" t="s">
        <v>18</v>
      </c>
      <c r="J76" s="15" t="s">
        <v>86</v>
      </c>
    </row>
    <row r="77" spans="1:10">
      <c r="A77" s="18" t="s">
        <v>64</v>
      </c>
      <c r="B77" s="17" t="s">
        <v>103</v>
      </c>
      <c r="C77" s="14" t="s">
        <v>21</v>
      </c>
      <c r="D77" s="14" t="s">
        <v>28</v>
      </c>
      <c r="E77" s="14" t="s">
        <v>104</v>
      </c>
      <c r="F77" s="14" t="s">
        <v>121</v>
      </c>
      <c r="G77" s="16" t="s">
        <v>108</v>
      </c>
      <c r="H77" t="s">
        <v>17</v>
      </c>
      <c r="I77" s="14" t="s">
        <v>18</v>
      </c>
      <c r="J77" s="15" t="s">
        <v>86</v>
      </c>
    </row>
    <row r="78" spans="1:10">
      <c r="A78" s="18" t="s">
        <v>117</v>
      </c>
      <c r="B78" s="17" t="s">
        <v>109</v>
      </c>
      <c r="C78" s="14" t="s">
        <v>21</v>
      </c>
      <c r="D78" s="14" t="s">
        <v>28</v>
      </c>
      <c r="E78" s="14" t="s">
        <v>110</v>
      </c>
      <c r="F78" s="14" t="s">
        <v>122</v>
      </c>
      <c r="G78" s="16" t="s">
        <v>108</v>
      </c>
      <c r="H78" t="s">
        <v>17</v>
      </c>
      <c r="I78" s="14" t="s">
        <v>18</v>
      </c>
      <c r="J78" s="15" t="s">
        <v>86</v>
      </c>
    </row>
    <row r="79" spans="1:10">
      <c r="A79" s="18" t="s">
        <v>119</v>
      </c>
      <c r="B79" s="17" t="s">
        <v>109</v>
      </c>
      <c r="C79" s="14" t="s">
        <v>21</v>
      </c>
      <c r="D79" s="14" t="s">
        <v>28</v>
      </c>
      <c r="E79" s="14" t="s">
        <v>110</v>
      </c>
      <c r="F79" s="14" t="s">
        <v>122</v>
      </c>
      <c r="G79" s="16" t="s">
        <v>108</v>
      </c>
      <c r="H79" t="s">
        <v>17</v>
      </c>
      <c r="I79" s="14" t="s">
        <v>18</v>
      </c>
      <c r="J79" s="15" t="s">
        <v>86</v>
      </c>
    </row>
    <row r="80" spans="1:10">
      <c r="A80" s="18" t="s">
        <v>120</v>
      </c>
      <c r="B80" s="17" t="s">
        <v>109</v>
      </c>
      <c r="C80" s="14" t="s">
        <v>21</v>
      </c>
      <c r="D80" s="14" t="s">
        <v>28</v>
      </c>
      <c r="E80" s="14" t="s">
        <v>110</v>
      </c>
      <c r="F80" s="14" t="s">
        <v>122</v>
      </c>
      <c r="G80" s="16" t="s">
        <v>108</v>
      </c>
      <c r="H80" t="s">
        <v>17</v>
      </c>
      <c r="I80" s="14" t="s">
        <v>18</v>
      </c>
      <c r="J80" s="15" t="s">
        <v>86</v>
      </c>
    </row>
    <row r="81" spans="1:10">
      <c r="A81" s="18" t="s">
        <v>64</v>
      </c>
      <c r="B81" s="17" t="s">
        <v>109</v>
      </c>
      <c r="C81" s="14" t="s">
        <v>21</v>
      </c>
      <c r="D81" s="14" t="s">
        <v>28</v>
      </c>
      <c r="E81" s="14" t="s">
        <v>110</v>
      </c>
      <c r="F81" s="14" t="s">
        <v>122</v>
      </c>
      <c r="G81" s="16" t="s">
        <v>108</v>
      </c>
      <c r="H81" t="s">
        <v>17</v>
      </c>
      <c r="I81" s="14" t="s">
        <v>18</v>
      </c>
      <c r="J81" s="15" t="s">
        <v>86</v>
      </c>
    </row>
    <row r="82" spans="1:10">
      <c r="A82" s="18" t="s">
        <v>123</v>
      </c>
      <c r="B82" s="17" t="s">
        <v>73</v>
      </c>
      <c r="C82" s="14" t="s">
        <v>21</v>
      </c>
      <c r="D82" s="14" t="s">
        <v>28</v>
      </c>
      <c r="E82" s="14" t="s">
        <v>124</v>
      </c>
      <c r="F82" s="14" t="s">
        <v>113</v>
      </c>
      <c r="G82" s="16" t="s">
        <v>114</v>
      </c>
      <c r="H82" t="s">
        <v>17</v>
      </c>
      <c r="I82" s="14" t="s">
        <v>18</v>
      </c>
      <c r="J82" s="15" t="s">
        <v>86</v>
      </c>
    </row>
    <row r="83" spans="1:10">
      <c r="A83" s="18" t="s">
        <v>125</v>
      </c>
      <c r="B83" s="17" t="s">
        <v>73</v>
      </c>
      <c r="C83" s="14" t="s">
        <v>21</v>
      </c>
      <c r="D83" s="14" t="s">
        <v>28</v>
      </c>
      <c r="E83" s="14" t="s">
        <v>124</v>
      </c>
      <c r="F83" s="14" t="s">
        <v>113</v>
      </c>
      <c r="G83" s="16" t="s">
        <v>114</v>
      </c>
      <c r="H83" t="s">
        <v>17</v>
      </c>
      <c r="I83" s="14" t="s">
        <v>18</v>
      </c>
      <c r="J83" s="15" t="s">
        <v>86</v>
      </c>
    </row>
    <row r="84" spans="1:10">
      <c r="A84" s="18" t="s">
        <v>126</v>
      </c>
      <c r="B84" s="17" t="s">
        <v>73</v>
      </c>
      <c r="C84" s="14" t="s">
        <v>21</v>
      </c>
      <c r="D84" s="14" t="s">
        <v>28</v>
      </c>
      <c r="E84" s="14" t="s">
        <v>124</v>
      </c>
      <c r="F84" s="14" t="s">
        <v>113</v>
      </c>
      <c r="G84" s="16" t="s">
        <v>114</v>
      </c>
      <c r="H84" t="s">
        <v>17</v>
      </c>
      <c r="I84" s="14" t="s">
        <v>18</v>
      </c>
      <c r="J84" s="15" t="s">
        <v>86</v>
      </c>
    </row>
    <row r="85" spans="1:10">
      <c r="A85" s="18" t="s">
        <v>127</v>
      </c>
      <c r="B85" s="17" t="s">
        <v>73</v>
      </c>
      <c r="C85" s="14" t="s">
        <v>21</v>
      </c>
      <c r="D85" s="14" t="s">
        <v>28</v>
      </c>
      <c r="E85" s="14" t="s">
        <v>124</v>
      </c>
      <c r="F85" s="14" t="s">
        <v>128</v>
      </c>
      <c r="G85" s="16" t="s">
        <v>114</v>
      </c>
      <c r="H85" t="s">
        <v>17</v>
      </c>
      <c r="I85" s="14" t="s">
        <v>18</v>
      </c>
      <c r="J85" s="15" t="s">
        <v>86</v>
      </c>
    </row>
    <row r="86" spans="1:10">
      <c r="A86" s="18" t="s">
        <v>123</v>
      </c>
      <c r="B86" s="17" t="s">
        <v>129</v>
      </c>
      <c r="C86" s="14" t="s">
        <v>21</v>
      </c>
      <c r="D86" s="14" t="s">
        <v>28</v>
      </c>
      <c r="E86" s="14" t="s">
        <v>130</v>
      </c>
      <c r="F86" s="14" t="s">
        <v>131</v>
      </c>
      <c r="G86" s="16" t="s">
        <v>108</v>
      </c>
      <c r="H86" t="s">
        <v>17</v>
      </c>
      <c r="I86" s="14" t="s">
        <v>18</v>
      </c>
      <c r="J86" s="15" t="s">
        <v>86</v>
      </c>
    </row>
    <row r="87" spans="1:10">
      <c r="A87" s="18" t="s">
        <v>127</v>
      </c>
      <c r="B87" s="17" t="s">
        <v>129</v>
      </c>
      <c r="C87" s="14" t="s">
        <v>21</v>
      </c>
      <c r="D87" s="14" t="s">
        <v>28</v>
      </c>
      <c r="E87" s="14" t="s">
        <v>130</v>
      </c>
      <c r="F87" s="14" t="s">
        <v>131</v>
      </c>
      <c r="G87" s="16" t="s">
        <v>108</v>
      </c>
      <c r="H87" t="s">
        <v>17</v>
      </c>
      <c r="I87" s="14" t="s">
        <v>18</v>
      </c>
      <c r="J87" s="15" t="s">
        <v>86</v>
      </c>
    </row>
    <row r="88" spans="1:10">
      <c r="A88" s="18" t="s">
        <v>125</v>
      </c>
      <c r="B88" s="17" t="s">
        <v>129</v>
      </c>
      <c r="C88" s="14" t="s">
        <v>21</v>
      </c>
      <c r="D88" s="14" t="s">
        <v>28</v>
      </c>
      <c r="E88" s="14" t="s">
        <v>130</v>
      </c>
      <c r="F88" s="14" t="s">
        <v>131</v>
      </c>
      <c r="G88" s="16" t="s">
        <v>108</v>
      </c>
      <c r="H88" t="s">
        <v>17</v>
      </c>
      <c r="I88" s="14" t="s">
        <v>18</v>
      </c>
      <c r="J88" s="15" t="s">
        <v>86</v>
      </c>
    </row>
    <row r="89" spans="1:10">
      <c r="A89" s="18" t="s">
        <v>126</v>
      </c>
      <c r="B89" s="17" t="s">
        <v>129</v>
      </c>
      <c r="C89" s="14" t="s">
        <v>21</v>
      </c>
      <c r="D89" s="14" t="s">
        <v>28</v>
      </c>
      <c r="E89" s="14" t="s">
        <v>130</v>
      </c>
      <c r="F89" s="14" t="s">
        <v>131</v>
      </c>
      <c r="G89" s="16" t="s">
        <v>108</v>
      </c>
      <c r="H89" t="s">
        <v>17</v>
      </c>
      <c r="I89" s="14" t="s">
        <v>18</v>
      </c>
      <c r="J89" s="15" t="s">
        <v>86</v>
      </c>
    </row>
    <row r="90" spans="1:10">
      <c r="A90" s="18" t="s">
        <v>123</v>
      </c>
      <c r="B90" s="17" t="s">
        <v>96</v>
      </c>
      <c r="C90" s="14" t="s">
        <v>21</v>
      </c>
      <c r="D90" s="14" t="s">
        <v>28</v>
      </c>
      <c r="E90" s="14" t="s">
        <v>124</v>
      </c>
      <c r="F90" s="14" t="s">
        <v>132</v>
      </c>
      <c r="G90" s="16" t="s">
        <v>114</v>
      </c>
      <c r="H90" t="s">
        <v>17</v>
      </c>
      <c r="I90" s="14" t="s">
        <v>18</v>
      </c>
      <c r="J90" s="15" t="s">
        <v>86</v>
      </c>
    </row>
    <row r="91" spans="1:10">
      <c r="A91" s="18" t="s">
        <v>127</v>
      </c>
      <c r="B91" s="17" t="s">
        <v>96</v>
      </c>
      <c r="C91" s="14" t="s">
        <v>21</v>
      </c>
      <c r="D91" s="14" t="s">
        <v>28</v>
      </c>
      <c r="E91" s="14" t="s">
        <v>124</v>
      </c>
      <c r="F91" s="14" t="s">
        <v>132</v>
      </c>
      <c r="G91" s="16" t="s">
        <v>114</v>
      </c>
      <c r="H91" t="s">
        <v>17</v>
      </c>
      <c r="I91" s="14" t="s">
        <v>18</v>
      </c>
      <c r="J91" s="15" t="s">
        <v>86</v>
      </c>
    </row>
    <row r="92" spans="1:10">
      <c r="A92" s="18" t="s">
        <v>125</v>
      </c>
      <c r="B92" s="17" t="s">
        <v>96</v>
      </c>
      <c r="C92" s="14" t="s">
        <v>21</v>
      </c>
      <c r="D92" s="14" t="s">
        <v>28</v>
      </c>
      <c r="E92" s="14" t="s">
        <v>124</v>
      </c>
      <c r="F92" s="14" t="s">
        <v>132</v>
      </c>
      <c r="G92" s="16" t="s">
        <v>114</v>
      </c>
      <c r="H92" t="s">
        <v>17</v>
      </c>
      <c r="I92" s="14" t="s">
        <v>18</v>
      </c>
      <c r="J92" s="15" t="s">
        <v>86</v>
      </c>
    </row>
    <row r="93" spans="1:10">
      <c r="A93" s="18" t="s">
        <v>126</v>
      </c>
      <c r="B93" s="17" t="s">
        <v>96</v>
      </c>
      <c r="C93" s="14" t="s">
        <v>21</v>
      </c>
      <c r="D93" s="14" t="s">
        <v>28</v>
      </c>
      <c r="E93" s="14" t="s">
        <v>124</v>
      </c>
      <c r="F93" s="14" t="s">
        <v>132</v>
      </c>
      <c r="G93" s="16" t="s">
        <v>114</v>
      </c>
      <c r="H93" t="s">
        <v>17</v>
      </c>
      <c r="I93" s="14" t="s">
        <v>18</v>
      </c>
      <c r="J93" s="15" t="s">
        <v>86</v>
      </c>
    </row>
    <row r="94" spans="1:10">
      <c r="A94" s="18" t="s">
        <v>133</v>
      </c>
      <c r="B94" s="17" t="s">
        <v>82</v>
      </c>
      <c r="C94" s="14" t="s">
        <v>21</v>
      </c>
      <c r="D94" s="14" t="s">
        <v>28</v>
      </c>
      <c r="E94" s="14" t="s">
        <v>83</v>
      </c>
      <c r="F94" s="14" t="s">
        <v>84</v>
      </c>
      <c r="G94" s="16" t="s">
        <v>85</v>
      </c>
      <c r="H94" t="s">
        <v>17</v>
      </c>
      <c r="I94" s="14" t="s">
        <v>18</v>
      </c>
      <c r="J94" s="15" t="s">
        <v>86</v>
      </c>
    </row>
    <row r="95" spans="1:10">
      <c r="A95" s="18" t="s">
        <v>134</v>
      </c>
      <c r="B95" s="17" t="s">
        <v>82</v>
      </c>
      <c r="C95" s="14" t="s">
        <v>21</v>
      </c>
      <c r="D95" s="14" t="s">
        <v>28</v>
      </c>
      <c r="E95" s="14" t="s">
        <v>83</v>
      </c>
      <c r="F95" s="14" t="s">
        <v>113</v>
      </c>
      <c r="G95" s="16" t="s">
        <v>114</v>
      </c>
      <c r="H95" t="s">
        <v>17</v>
      </c>
      <c r="I95" s="14" t="s">
        <v>18</v>
      </c>
      <c r="J95" s="15" t="s">
        <v>86</v>
      </c>
    </row>
    <row r="96" spans="1:10">
      <c r="A96" s="18" t="s">
        <v>135</v>
      </c>
      <c r="B96" s="17" t="s">
        <v>118</v>
      </c>
      <c r="C96" s="14" t="s">
        <v>21</v>
      </c>
      <c r="D96" s="14" t="s">
        <v>28</v>
      </c>
      <c r="E96" s="14" t="s">
        <v>99</v>
      </c>
      <c r="F96" s="14" t="s">
        <v>105</v>
      </c>
      <c r="G96" s="16" t="s">
        <v>92</v>
      </c>
      <c r="H96" t="s">
        <v>17</v>
      </c>
      <c r="I96" s="14" t="s">
        <v>18</v>
      </c>
      <c r="J96" s="15" t="s">
        <v>86</v>
      </c>
    </row>
    <row r="97" spans="1:10">
      <c r="A97" s="18" t="s">
        <v>135</v>
      </c>
      <c r="B97" s="17" t="s">
        <v>103</v>
      </c>
      <c r="C97" s="14" t="s">
        <v>21</v>
      </c>
      <c r="D97" s="14" t="s">
        <v>28</v>
      </c>
      <c r="E97" s="14" t="s">
        <v>104</v>
      </c>
      <c r="F97" s="14" t="s">
        <v>121</v>
      </c>
      <c r="G97" s="16" t="s">
        <v>108</v>
      </c>
      <c r="H97" t="s">
        <v>17</v>
      </c>
      <c r="I97" s="14" t="s">
        <v>18</v>
      </c>
      <c r="J97" s="15" t="s">
        <v>86</v>
      </c>
    </row>
    <row r="98" spans="1:10">
      <c r="A98" s="18" t="s">
        <v>135</v>
      </c>
      <c r="B98" s="17" t="s">
        <v>109</v>
      </c>
      <c r="C98" s="14" t="s">
        <v>21</v>
      </c>
      <c r="D98" s="14" t="s">
        <v>28</v>
      </c>
      <c r="E98" s="14" t="s">
        <v>110</v>
      </c>
      <c r="F98" s="14" t="s">
        <v>122</v>
      </c>
      <c r="G98" s="16" t="s">
        <v>108</v>
      </c>
      <c r="H98" t="s">
        <v>17</v>
      </c>
      <c r="I98" s="14" t="s">
        <v>18</v>
      </c>
      <c r="J98" s="15" t="s">
        <v>86</v>
      </c>
    </row>
    <row r="99" spans="1:10">
      <c r="A99" s="18" t="s">
        <v>136</v>
      </c>
      <c r="B99" s="17" t="s">
        <v>73</v>
      </c>
      <c r="C99" s="14" t="s">
        <v>21</v>
      </c>
      <c r="D99" s="14" t="s">
        <v>28</v>
      </c>
      <c r="E99" s="14" t="s">
        <v>124</v>
      </c>
      <c r="F99" s="14" t="s">
        <v>113</v>
      </c>
      <c r="G99" s="16" t="s">
        <v>114</v>
      </c>
      <c r="H99" t="s">
        <v>17</v>
      </c>
      <c r="I99" s="14" t="s">
        <v>18</v>
      </c>
      <c r="J99" s="15" t="s">
        <v>86</v>
      </c>
    </row>
    <row r="100" spans="1:10">
      <c r="A100" s="18" t="s">
        <v>136</v>
      </c>
      <c r="B100" s="17" t="s">
        <v>129</v>
      </c>
      <c r="C100" s="14" t="s">
        <v>21</v>
      </c>
      <c r="D100" s="14" t="s">
        <v>28</v>
      </c>
      <c r="E100" s="14" t="s">
        <v>130</v>
      </c>
      <c r="F100" s="14" t="s">
        <v>131</v>
      </c>
      <c r="G100" s="16" t="s">
        <v>108</v>
      </c>
      <c r="H100" t="s">
        <v>17</v>
      </c>
      <c r="I100" s="14" t="s">
        <v>18</v>
      </c>
      <c r="J100" s="15" t="s">
        <v>86</v>
      </c>
    </row>
    <row r="101" spans="1:10">
      <c r="A101" s="18" t="s">
        <v>136</v>
      </c>
      <c r="B101" s="17" t="s">
        <v>96</v>
      </c>
      <c r="C101" s="14" t="s">
        <v>21</v>
      </c>
      <c r="D101" s="14" t="s">
        <v>28</v>
      </c>
      <c r="E101" s="14" t="s">
        <v>124</v>
      </c>
      <c r="F101" s="14" t="s">
        <v>132</v>
      </c>
      <c r="G101" s="16" t="s">
        <v>114</v>
      </c>
      <c r="H101" t="s">
        <v>17</v>
      </c>
      <c r="I101" s="14" t="s">
        <v>18</v>
      </c>
      <c r="J101" s="15" t="s">
        <v>86</v>
      </c>
    </row>
  </sheetData>
  <conditionalFormatting sqref="H2:H101">
    <cfRule type="expression" dxfId="4" priority="1">
      <formula>H2="Alta"</formula>
    </cfRule>
    <cfRule type="expression" dxfId="3" priority="2">
      <formula>H2="Media"</formula>
    </cfRule>
    <cfRule type="expression" dxfId="2" priority="3">
      <formula>H2="Baja"</formula>
    </cfRule>
  </conditionalFormatting>
  <conditionalFormatting sqref="J2:J101">
    <cfRule type="expression" dxfId="1" priority="4">
      <formula>J2="Ejecutado"</formula>
    </cfRule>
    <cfRule type="expression" dxfId="0" priority="5">
      <formula>J2="Pendiente"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baseColWidth="10" defaultColWidth="9" defaultRowHeight="14.25"/>
  <cols>
    <col min="1" max="3" width="18" customWidth="1"/>
  </cols>
  <sheetData>
    <row r="1" spans="1:3" ht="15" customHeight="1">
      <c r="A1" s="6" t="s">
        <v>7</v>
      </c>
      <c r="B1" s="6" t="s">
        <v>9</v>
      </c>
      <c r="C1" s="6" t="s">
        <v>8</v>
      </c>
    </row>
    <row r="2" spans="1:3">
      <c r="A2" t="s">
        <v>17</v>
      </c>
      <c r="B2" t="s">
        <v>86</v>
      </c>
      <c r="C2" t="s">
        <v>18</v>
      </c>
    </row>
    <row r="3" spans="1:3">
      <c r="A3" t="s">
        <v>39</v>
      </c>
      <c r="B3" t="s">
        <v>19</v>
      </c>
      <c r="C3" t="s">
        <v>137</v>
      </c>
    </row>
    <row r="4" spans="1:3">
      <c r="A4" t="s">
        <v>138</v>
      </c>
      <c r="B4" t="s">
        <v>26</v>
      </c>
      <c r="C4" t="s">
        <v>139</v>
      </c>
    </row>
    <row r="5" spans="1:3">
      <c r="B5" t="s">
        <v>140</v>
      </c>
      <c r="C5" t="s">
        <v>141</v>
      </c>
    </row>
    <row r="6" spans="1:3">
      <c r="C6" t="s">
        <v>50</v>
      </c>
    </row>
    <row r="7" spans="1:3">
      <c r="C7"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selection sqref="A1:F1"/>
    </sheetView>
  </sheetViews>
  <sheetFormatPr baseColWidth="10" defaultColWidth="9" defaultRowHeight="14.25"/>
  <cols>
    <col min="1" max="2" width="24" customWidth="1"/>
  </cols>
  <sheetData>
    <row r="1" spans="1:6" ht="30" customHeight="1">
      <c r="A1" s="12" t="s">
        <v>142</v>
      </c>
      <c r="B1" s="13"/>
      <c r="C1" s="13"/>
      <c r="D1" s="13"/>
      <c r="E1" s="13"/>
      <c r="F1" s="13"/>
    </row>
    <row r="3" spans="1:6" ht="15" customHeight="1">
      <c r="A3" s="5" t="s">
        <v>143</v>
      </c>
      <c r="B3" s="5" t="s">
        <v>144</v>
      </c>
    </row>
    <row r="4" spans="1:6" ht="15" customHeight="1">
      <c r="A4" s="7" t="s">
        <v>145</v>
      </c>
      <c r="B4">
        <f>COUNTA(EVENTOS!E2:E16)</f>
        <v>15</v>
      </c>
    </row>
    <row r="5" spans="1:6" ht="15" customHeight="1">
      <c r="A5" s="7" t="s">
        <v>146</v>
      </c>
      <c r="B5">
        <f>COUNTIF(EVENTOS!J2:J16,"Ejecutado")</f>
        <v>2</v>
      </c>
    </row>
    <row r="6" spans="1:6" ht="15" customHeight="1">
      <c r="A6" s="7" t="s">
        <v>147</v>
      </c>
      <c r="B6">
        <f>COUNTIF(EVENTOS!J2:J16,"Pendiente")</f>
        <v>13</v>
      </c>
    </row>
    <row r="7" spans="1:6" ht="15" customHeight="1">
      <c r="A7" s="7" t="s">
        <v>148</v>
      </c>
      <c r="B7">
        <f>COUNTIF(EVENTOS!H2:H16,"Alta")</f>
        <v>12</v>
      </c>
    </row>
    <row r="8" spans="1:6" ht="15" customHeight="1">
      <c r="A8" s="7" t="s">
        <v>149</v>
      </c>
      <c r="B8">
        <f>COUNTA(EVENTOS!F2:F16)</f>
        <v>15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EVENTOS</vt:lpstr>
      <vt:lpstr>LISTAS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Camilo Chavez Cruz</cp:lastModifiedBy>
  <dcterms:created xsi:type="dcterms:W3CDTF">2026-06-06T20:35:01Z</dcterms:created>
  <dcterms:modified xsi:type="dcterms:W3CDTF">2026-06-06T21:00:02Z</dcterms:modified>
</cp:coreProperties>
</file>