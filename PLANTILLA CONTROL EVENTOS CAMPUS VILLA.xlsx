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7EB9AA3B-B164-4E25-96CA-88E38CBBE3E9}"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<sst xmlns="http://schemas.openxmlformats.org/spreadsheetml/2006/main" count="177" uniqueCount="96">
  <si>
    <t>Fecha</t>
  </si>
  <si>
    <t>Área Solicitante</t>
  </si>
  <si>
    <t>N° OT</t>
  </si>
  <si>
    <t>Evento / Actividad</t>
  </si>
  <si>
    <t>Ubicación</t>
  </si>
  <si>
    <t>Requerimientos</t>
  </si>
  <si>
    <t>Prioridad</t>
  </si>
  <si>
    <t>Categoría</t>
  </si>
  <si>
    <t>Estado</t>
  </si>
  <si>
    <t>29/05/2026</t>
  </si>
  <si>
    <t>08:00</t>
  </si>
  <si>
    <t>Seguridad</t>
  </si>
  <si>
    <t>OT-00125</t>
  </si>
  <si>
    <t>Simulacro Multipeligro</t>
  </si>
  <si>
    <t>Coordinación con brigadas y rutas de evacuación</t>
  </si>
  <si>
    <t>Alta</t>
  </si>
  <si>
    <t>Institucional</t>
  </si>
  <si>
    <t>Ejecutado</t>
  </si>
  <si>
    <t>31/05/2026</t>
  </si>
  <si>
    <t>VGU</t>
  </si>
  <si>
    <t>OT-81043</t>
  </si>
  <si>
    <t>evento lote 28</t>
  </si>
  <si>
    <t>4 toldos, 4 mesas, 4 manteles, sillas</t>
  </si>
  <si>
    <t>Pendiente</t>
  </si>
  <si>
    <t>Psicopedagogico</t>
  </si>
  <si>
    <t>CORREO</t>
  </si>
  <si>
    <t>1 extension para parlante</t>
  </si>
  <si>
    <t>09:00</t>
  </si>
  <si>
    <t>Enfermeria</t>
  </si>
  <si>
    <t>Auditorio Pabellon O</t>
  </si>
  <si>
    <t>Sillas, Podium, Mesas</t>
  </si>
  <si>
    <t>Estomatologia</t>
  </si>
  <si>
    <t>Canchas deportivas</t>
  </si>
  <si>
    <t>ninguno</t>
  </si>
  <si>
    <t>Media</t>
  </si>
  <si>
    <t>30/05/2026</t>
  </si>
  <si>
    <t>Servicios Generrales</t>
  </si>
  <si>
    <t>Cumpleaños Juan Hernandez</t>
  </si>
  <si>
    <t>Equipo villa</t>
  </si>
  <si>
    <t>01/06/2026</t>
  </si>
  <si>
    <t>SST</t>
  </si>
  <si>
    <t>Capacitacion SST</t>
  </si>
  <si>
    <t>Presencial</t>
  </si>
  <si>
    <t>Corporativo</t>
  </si>
  <si>
    <t>09/06/2026</t>
  </si>
  <si>
    <t>CARRERA DE INGIENERIA</t>
  </si>
  <si>
    <t>Concurso de Ingieneria Civil</t>
  </si>
  <si>
    <t>mesas</t>
  </si>
  <si>
    <t>Feria de Papers</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</si>
  <si>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</si>
  <si>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</si>
  <si>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</si>
  <si>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</si>
  <si>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</si>
  <si>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</si>
  <si>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</si>
  <si>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</si>
  <si>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</si>
  <si>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</si>
  <si>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</si>
  <si>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</si>
  <si>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</si>
  <si>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</si>
  <si>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</si>
  <si>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</si>
  <si>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</si>
  <si>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</si>
  <si>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</si>
  <si>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Programado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</si>
  <si>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</si>
  <si>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</si>
  <si>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</si>
  <si>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</si>
  <si>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</si>
  <si>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</si>
  <si>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</si>
  <si>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</si>
  <si>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</si>
  <si>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</si>
  <si>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</si>
  <si>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</si>
  <si>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</si>
  <si>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EMPLEABILIDAD</t>
  </si>
  <si>
    <t>sol 9691</t>
  </si>
  <si>
    <t>Congreso Nacional e Internacional de Derecho Ambiental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</si>
  <si>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</si>
  <si>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Sede villa - pabellon O / L</t>
  </si>
  <si>
    <t>Hora</t>
  </si>
  <si>
    <t>Campus villa</t>
  </si>
  <si>
    <t>Lote 28</t>
  </si>
  <si>
    <t>lote 28</t>
  </si>
  <si>
    <t xml:space="preserve">Auditorio O </t>
  </si>
  <si>
    <t>Externo</t>
  </si>
  <si>
    <t>Aramburu</t>
  </si>
  <si>
    <t xml:space="preserve">Terrazo pabellon J </t>
  </si>
  <si>
    <t xml:space="preserve">Pabellon 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</si>
</sst>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font>
      <sz val="11"/>
      <name val="Carlito"/>
    </font>
    <font>
      <b/>
      <sz val="11"/>
      <color rgb="FFFFFFFF"/>
      <name val="Carlito"/>
    </font>
    <font>
      <b/>
      <sz val="16"/>
      <color rgb="FFFFFFFF"/>
      <name val="Carlito"/>
    </font>
    <font>
      <b/>
      <sz val="11"/>
      <name val="Carlito"/>
    </font>
  </fonts>
  <fills count="4">
    <fill>
      <patternFill patternType="none"/>
    </fill>
    <fill>
      <patternFill patternType="gray125"/>
    </fill>
    <fill>
      <patternFill patternType="solid">
        <fgColor rgb="FF7A0019"/>
      </patternFill>
    </fill>
    <fill>
      <patternFill patternType="solid">
        <fgColor rgb="FF1F2937"/>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2" fillId="2" borderId="0" xfId="0" applyFont="1" applyFill="1" applyAlignment="1">
      <alignment horizontal="center"/>
    </xf>
    <xf numFmtId="0" fontId="0" fillId="0" borderId="0" xfId="0"/>
  </cellXfs>
  <cellStyles count="1">
    <cellStyle name="Normal" xfId="0" builtinId="0"/>
  </cellStyles>
  <dxfs count="5">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abSelected="1" topLeftCell="A14" workbookViewId="0">
      <selection activeCell="E21" sqref="E21"/>
    </sheetView>
  </sheetViews>
  <sheetFormatPr baseColWidth="10" defaultColWidth="9" defaultRowHeight="14.25"/>
  <cols>
    <col min="1" max="1" width="14"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87</v>
      </c>
      <c r="C1" s="1" t="s">
        <v>1</v>
      </c>
      <c r="D1" s="1" t="s">
        <v>2</v>
      </c>
      <c r="E1" s="1" t="s">
        <v>3</v>
      </c>
      <c r="F1" s="1" t="s">
        <v>4</v>
      </c>
      <c r="G1" s="1" t="s">
        <v>5</v>
      </c>
      <c r="H1" s="1" t="s">
        <v>6</v>
      </c>
      <c r="I1" s="1" t="s">
        <v>7</v>
      </c>
      <c r="J1" s="1" t="s">
        <v>8</v>
      </c>
    </row>
    <row r="2" spans="1:10" ht="15">
      <c r="A2" s="3" t="s">
        <v>9</v>
      </c>
      <c r="B2" s="4" t="s">
        <v>10</v>
      </c>
      <c r="C2" s="2" t="s">
        <v>11</v>
      </c>
      <c r="D2" s="2" t="s">
        <v>12</v>
      </c>
      <c r="E2" s="2" t="s">
        <v>13</v>
      </c>
      <c r="F2" s="2" t="s">
        <v>88</v>
      </c>
      <c r="G2" s="2" t="s">
        <v>14</v>
      </c>
      <c r="H2" s="2" t="s">
        <v>15</v>
      </c>
      <c r="I2" s="2" t="s">
        <v>16</v>
      </c>
      <c r="J2" s="2" t="s">
        <v>17</v>
      </c>
    </row>
    <row r="3" spans="1:10" ht="15">
      <c r="A3" s="3" t="s">
        <v>18</v>
      </c>
      <c r="B3" s="4" t="s">
        <v>10</v>
      </c>
      <c r="C3" s="2" t="s">
        <v>19</v>
      </c>
      <c r="D3" s="2" t="s">
        <v>20</v>
      </c>
      <c r="E3" s="2" t="s">
        <v>21</v>
      </c>
      <c r="F3" s="2" t="s">
        <v>89</v>
      </c>
      <c r="G3" s="2" t="s">
        <v>22</v>
      </c>
      <c r="H3" s="2" t="s">
        <v>15</v>
      </c>
      <c r="I3" s="2" t="s">
        <v>16</v>
      </c>
      <c r="J3" s="2" t="s">
        <v>23</v>
      </c>
    </row>
    <row r="4" spans="1:10" ht="15">
      <c r="A4" s="3" t="s">
        <v>18</v>
      </c>
      <c r="B4" s="4" t="s">
        <v>10</v>
      </c>
      <c r="C4" s="2" t="s">
        <v>24</v>
      </c>
      <c r="D4" s="2" t="s">
        <v>25</v>
      </c>
      <c r="E4" s="2" t="s">
        <v>21</v>
      </c>
      <c r="F4" s="2" t="s">
        <v>90</v>
      </c>
      <c r="G4" s="2" t="s">
        <v>26</v>
      </c>
      <c r="H4" s="2" t="s">
        <v>15</v>
      </c>
      <c r="I4" s="2" t="s">
        <v>16</v>
      </c>
      <c r="J4" s="2" t="s">
        <v>23</v>
      </c>
    </row>
    <row r="5" spans="1:10" ht="15">
      <c r="A5" s="3" t="s">
        <v>18</v>
      </c>
      <c r="B5" s="4" t="s">
        <v>27</v>
      </c>
      <c r="C5" s="2" t="s">
        <v>28</v>
      </c>
      <c r="D5" s="2" t="s">
        <v>25</v>
      </c>
      <c r="E5" s="2" t="s">
        <v>29</v>
      </c>
      <c r="F5" s="2" t="s">
        <v>91</v>
      </c>
      <c r="G5" s="2" t="s">
        <v>30</v>
      </c>
      <c r="H5" s="2" t="s">
        <v>15</v>
      </c>
      <c r="I5" s="2" t="s">
        <v>16</v>
      </c>
      <c r="J5" s="2" t="s">
        <v>23</v>
      </c>
    </row>
    <row r="6" spans="1:10" ht="15">
      <c r="A6" s="3" t="s">
        <v>18</v>
      </c>
      <c r="B6" s="4" t="s">
        <v>27</v>
      </c>
      <c r="C6" s="2" t="s">
        <v>31</v>
      </c>
      <c r="D6" s="2"/>
      <c r="E6" s="2" t="s">
        <v>32</v>
      </c>
      <c r="F6" s="2" t="s">
        <v>32</v>
      </c>
      <c r="G6" s="2" t="s">
        <v>33</v>
      </c>
      <c r="H6" s="2" t="s">
        <v>34</v>
      </c>
      <c r="I6" s="2" t="s">
        <v>16</v>
      </c>
      <c r="J6" s="2" t="s">
        <v>23</v>
      </c>
    </row>
    <row r="7" spans="1:10" ht="15">
      <c r="A7" s="3" t="s">
        <v>35</v>
      </c>
      <c r="B7" s="4" t="s">
        <v>10</v>
      </c>
      <c r="C7" s="2" t="s">
        <v>36</v>
      </c>
      <c r="D7" s="2"/>
      <c r="E7" s="2" t="s">
        <v>37</v>
      </c>
      <c r="F7" s="2" t="s">
        <v>92</v>
      </c>
      <c r="G7" s="2"/>
      <c r="H7" s="2" t="s">
        <v>15</v>
      </c>
      <c r="I7" s="2" t="s">
        <v>38</v>
      </c>
      <c r="J7" s="2" t="s">
        <v>17</v>
      </c>
    </row>
    <row r="8" spans="1:10" ht="15">
      <c r="A8" s="3" t="s">
        <v>39</v>
      </c>
      <c r="B8" s="4" t="s">
        <v>10</v>
      </c>
      <c r="C8" s="2" t="s">
        <v>40</v>
      </c>
      <c r="D8" s="2" t="s">
        <v>25</v>
      </c>
      <c r="E8" s="2" t="s">
        <v>41</v>
      </c>
      <c r="F8" s="2" t="s">
        <v>93</v>
      </c>
      <c r="G8" s="2" t="s">
        <v>42</v>
      </c>
      <c r="H8" s="2" t="s">
        <v>15</v>
      </c>
      <c r="I8" s="2" t="s">
        <v>43</v>
      </c>
      <c r="J8" s="2" t="s">
        <v>23</v>
      </c>
    </row>
    <row r="9" spans="1:10" ht="15">
      <c r="A9" s="3" t="s">
        <v>44</v>
      </c>
      <c r="B9" s="4" t="s">
        <v>10</v>
      </c>
      <c r="C9" s="2" t="s">
        <v>45</v>
      </c>
      <c r="D9" s="2" t="s">
        <v>25</v>
      </c>
      <c r="E9" s="2" t="s">
        <v>46</v>
      </c>
      <c r="F9" s="2" t="s">
        <v>95</v>
      </c>
      <c r="G9" s="2" t="s">
        <v>47</v>
      </c>
      <c r="H9" s="2" t="s">
        <v>34</v>
      </c>
      <c r="I9" s="2" t="s">
        <v>16</v>
      </c>
      <c r="J9" s="2" t="s">
        <v>23</v>
      </c>
    </row>
    <row r="10" spans="1:10" ht="15">
      <c r="A10" s="3" t="s">
        <v>44</v>
      </c>
      <c r="B10" s="4" t="s">
        <v>10</v>
      </c>
      <c r="C10" s="2" t="s">
        <v>45</v>
      </c>
      <c r="D10" s="2" t="s">
        <v>25</v>
      </c>
      <c r="E10" s="2" t="s">
        <v>48</v>
      </c>
      <c r="F10" s="2" t="s">
        <v>94</v>
      </c>
      <c r="G10" s="2" t="s">
        <v>47</v>
      </c>
      <c r="H10" s="2" t="s">
        <v>34</v>
      </c>
      <c r="I10" s="2" t="s">
        <v>16</v>
      </c>
      <c r="J10" s="2" t="s">
        <v>23</v>
      </c>
    </row>
    <row r="11" spans="1:10" ht="143.25">
      <c r="A11" s="3" t="s">
        <v>49</v>
      </c>
      <c r="B11" s="4" t="s">
        <v>10</v>
      </c>
      <c r="C11" s="2" t="s">
        <v>50</v>
      </c>
      <c r="D11" s="2" t="s">
        <v>51</v>
      </c>
      <c r="E11" s="2" t="s">
        <v>52</v>
      </c>
      <c r="F11" s="2" t="s">
        <v>53</v>
      </c>
      <c r="G11" s="2" t="s">
        <v>54</v>
      </c>
      <c r="H11" s="2" t="s">
        <v>15</v>
      </c>
      <c r="I11" s="2" t="s">
        <v>16</v>
      </c>
      <c r="J11" s="2" t="s">
        <v>23</v>
      </c>
    </row>
    <row r="12" spans="1:10" ht="228.75">
      <c r="A12" s="3" t="s">
        <v>55</v>
      </c>
      <c r="B12" s="4" t="s">
        <v>10</v>
      </c>
      <c r="C12" s="2" t="s">
        <v>50</v>
      </c>
      <c r="D12" s="2" t="s">
        <v>56</v>
      </c>
      <c r="E12" s="2" t="s">
        <v>57</v>
      </c>
      <c r="F12" s="2" t="s">
        <v>58</v>
      </c>
      <c r="G12" s="2" t="s">
        <v>59</v>
      </c>
      <c r="H12" s="2" t="s">
        <v>15</v>
      </c>
      <c r="I12" s="2" t="s">
        <v>16</v>
      </c>
      <c r="J12" s="2" t="s">
        <v>23</v>
      </c>
    </row>
    <row r="13" spans="1:10" ht="200.25">
      <c r="A13" s="3" t="s">
        <v>55</v>
      </c>
      <c r="B13" s="4" t="s">
        <v>10</v>
      </c>
      <c r="C13" s="2" t="s">
        <v>50</v>
      </c>
      <c r="D13" s="2" t="s">
        <v>60</v>
      </c>
      <c r="E13" s="2" t="s">
        <v>61</v>
      </c>
      <c r="F13" s="2" t="s">
        <v>53</v>
      </c>
      <c r="G13" s="2" t="s">
        <v>62</v>
      </c>
      <c r="H13" s="2" t="s">
        <v>15</v>
      </c>
      <c r="I13" s="2" t="s">
        <v>16</v>
      </c>
      <c r="J13" s="2" t="s">
        <v>23</v>
      </c>
    </row>
    <row r="14" spans="1:10" ht="129">
      <c r="A14" s="3" t="s">
        <v>63</v>
      </c>
      <c r="B14" s="4" t="s">
        <v>64</v>
      </c>
      <c r="C14" s="2" t="s">
        <v>50</v>
      </c>
      <c r="D14" s="2" t="s">
        <v>65</v>
      </c>
      <c r="E14" s="2" t="s">
        <v>66</v>
      </c>
      <c r="F14" s="2" t="s">
        <v>53</v>
      </c>
      <c r="G14" s="2" t="s">
        <v>67</v>
      </c>
      <c r="H14" s="2" t="s">
        <v>15</v>
      </c>
      <c r="I14" s="2" t="s">
        <v>16</v>
      </c>
      <c r="J14" s="2" t="s">
        <v>23</v>
      </c>
    </row>
    <row r="15" spans="1:10" ht="270.75">
      <c r="A15" s="11">
        <v>46177</v>
      </c>
      <c r="B15" s="10">
        <v>0.33333333333333331</v>
      </c>
      <c r="C15" s="8" t="s">
        <v>82</v>
      </c>
      <c r="D15" s="8" t="s">
        <v>83</v>
      </c>
      <c r="E15" s="8" t="s">
        <v>84</v>
      </c>
      <c r="F15" s="8" t="s">
        <v>86</v>
      </c>
      <c r="G15" s="9" t="s">
        <v>85</v>
      </c>
      <c r="H15" s="8" t="s">
        <v>15</v>
      </c>
      <c r="I15" s="8" t="s">
        <v>16</v>
      </c>
      <c r="J15" s="8" t="s">
        <v>23</v>
      </c>
    </row>
    <row r="16" spans="1:10" ht="270.75">
      <c r="A16" s="11">
        <v>46178</v>
      </c>
      <c r="B16" s="10">
        <v>0.33333333333333331</v>
      </c>
      <c r="C16" s="8" t="s">
        <v>82</v>
      </c>
      <c r="D16" s="8" t="s">
        <v>83</v>
      </c>
      <c r="E16" s="8" t="s">
        <v>84</v>
      </c>
      <c r="F16" s="8" t="s">
        <v>86</v>
      </c>
      <c r="G16" s="9" t="s">
        <v>85</v>
      </c>
      <c r="H16" s="8" t="s">
        <v>15</v>
      </c>
      <c r="I16" s="8" t="s">
        <v>16</v>
      </c>
      <c r="J16" s="8" t="s">
        <v>23</v>
      </c>
    </row>
  </sheetData>
  <conditionalFormatting sqref="H2:H64">
    <cfRule type="expression" dxfId="4" priority="1">
      <formula>H2="Alta"</formula>
    </cfRule>
    <cfRule type="expression" dxfId="3" priority="2">
      <formula>H2="Media"</formula>
    </cfRule>
    <cfRule type="expression" dxfId="2" priority="3">
      <formula>H2="Baja"</formula>
    </cfRule>
  </conditionalFormatting>
  <conditionalFormatting sqref="J2:J64">
    <cfRule type="expression" dxfId="1" priority="4">
      <formula>J2="Ejecutado"</formula>
    </cfRule>
    <cfRule type="expression" dxfId="0" priority="5">
      <formula>J2="Pendiente"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xr:uid="{00000000-0002-0000-0000-000000000000}">
          <x14:formula1>
            <xm:f>LISTAS!$A$2:$A$4</xm:f>
          </x14:formula1>
          <xm:sqref>H2:H64</xm:sqref>
        </x14:dataValidation>
        <x14:dataValidation type="list" xr:uid="{00000000-0002-0000-0000-000001000000}">
          <x14:formula1>
            <xm:f>LISTAS!$C$2:$C$7</xm:f>
          </x14:formula1>
          <xm:sqref>I2:I64</xm:sqref>
        </x14:dataValidation>
        <x14:dataValidation type="list" xr:uid="{00000000-0002-0000-0000-000002000000}">
          <x14:formula1>
            <xm:f>LISTAS!$B$2:$B$5</xm:f>
          </x14:formula1>
          <xm:sqref>J2:J64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 r="A1" s="6" t="s">
        <v>6</v>
      </c>
      <c r="B1" s="6" t="s">
        <v>8</v>
      </c>
      <c r="C1" s="6" t="s">
        <v>7</v>
      </c>
    </row>
    <row r="2" spans="1:3">
      <c r="A2" t="s">
        <v>15</v>
      </c>
      <c r="B2" t="s">
        <v>68</v>
      </c>
      <c r="C2" t="s">
        <v>16</v>
      </c>
    </row>
    <row r="3" spans="1:3">
      <c r="A3" t="s">
        <v>34</v>
      </c>
      <c r="B3" t="s">
        <v>17</v>
      </c>
      <c r="C3" t="s">
        <v>69</v>
      </c>
    </row>
    <row r="4" spans="1:3">
      <c r="A4" t="s">
        <v>70</v>
      </c>
      <c r="B4" t="s">
        <v>23</v>
      </c>
      <c r="C4" t="s">
        <v>71</v>
      </c>
    </row>
    <row r="5" spans="1:3">
      <c r="B5" t="s">
        <v>72</v>
      </c>
      <c r="C5" t="s">
        <v>73</v>
      </c>
    </row>
    <row r="6" spans="1:3">
      <c r="C6" t="s">
        <v>43</v>
      </c>
    </row>
    <row r="7" spans="1:3">
      <c r="C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2" t="s">
        <v>74</v>
      </c>
      <c r="B1" s="13"/>
      <c r="C1" s="13"/>
      <c r="D1" s="13"/>
      <c r="E1" s="13"/>
      <c r="F1" s="13"/>
    </row>
    <row r="3" spans="1:6" ht="15">
      <c r="A3" s="5" t="s">
        <v>75</v>
      </c>
      <c r="B3" s="5" t="s">
        <v>76</v>
      </c>
    </row>
    <row r="4" spans="1:6" ht="15">
      <c r="A4" s="7" t="s">
        <v>77</v>
      </c>
      <c r="B4">
        <f>COUNTA(EVENTOS!E2:E16)</f>
        <v>15</v>
      </c>
    </row>
    <row r="5" spans="1:6" ht="15">
      <c r="A5" s="7" t="s">
        <v>78</v>
      </c>
      <c r="B5">
        <f>COUNTIF(EVENTOS!J2:J16,"Ejecutado")</f>
        <v>2</v>
      </c>
    </row>
    <row r="6" spans="1:6" ht="15">
      <c r="A6" s="7" t="s">
        <v>79</v>
      </c>
      <c r="B6">
        <f>COUNTIF(EVENTOS!J2:J16,"Pendiente")</f>
        <v>13</v>
      </c>
    </row>
    <row r="7" spans="1:6" ht="15">
      <c r="A7" s="7" t="s">
        <v>80</v>
      </c>
      <c r="B7">
        <f>COUNTIF(EVENTOS!H2:H16,"Alta")</f>
        <v>12</v>
      </c>
    </row>
    <row r="8" spans="1:6" ht="15">
      <c r="A8" s="7" t="s">
        <v>81</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2026-06-03T21:28:48Z</dcterms:modified>
</cp:coreProperties>
</file>